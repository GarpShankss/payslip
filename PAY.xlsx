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logs\Downloads\"/>
    </mc:Choice>
  </mc:AlternateContent>
  <xr:revisionPtr revIDLastSave="0" documentId="13_ncr:1_{80E17147-09CE-4310-962B-72D384E950F2}" xr6:coauthVersionLast="47" xr6:coauthVersionMax="47" xr10:uidLastSave="{00000000-0000-0000-0000-000000000000}"/>
  <bookViews>
    <workbookView xWindow="-108" yWindow="-108" windowWidth="23256" windowHeight="12456" xr2:uid="{E1262E63-BED8-4060-AD1D-F8A7CAFA9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0" i="1" l="1"/>
  <c r="W20" i="1"/>
  <c r="V20" i="1"/>
  <c r="P20" i="1"/>
  <c r="O20" i="1"/>
  <c r="N20" i="1"/>
  <c r="M20" i="1"/>
  <c r="U19" i="1"/>
  <c r="T19" i="1"/>
  <c r="S19" i="1"/>
  <c r="Z19" i="1" s="1"/>
  <c r="Q19" i="1"/>
  <c r="X19" i="1" s="1"/>
  <c r="Y19" i="1" s="1"/>
  <c r="U18" i="1"/>
  <c r="T18" i="1"/>
  <c r="S18" i="1"/>
  <c r="Q18" i="1"/>
  <c r="R18" i="1" s="1"/>
  <c r="U17" i="1"/>
  <c r="T17" i="1"/>
  <c r="S17" i="1"/>
  <c r="Z17" i="1" s="1"/>
  <c r="Q17" i="1"/>
  <c r="X17" i="1" s="1"/>
  <c r="U16" i="1"/>
  <c r="T16" i="1"/>
  <c r="S16" i="1"/>
  <c r="Z16" i="1" s="1"/>
  <c r="Q16" i="1"/>
  <c r="X16" i="1" s="1"/>
  <c r="U15" i="1"/>
  <c r="T15" i="1"/>
  <c r="S15" i="1"/>
  <c r="Z15" i="1" s="1"/>
  <c r="Q15" i="1"/>
  <c r="X15" i="1" s="1"/>
  <c r="Y15" i="1" s="1"/>
  <c r="U14" i="1"/>
  <c r="T14" i="1"/>
  <c r="S14" i="1"/>
  <c r="Q14" i="1"/>
  <c r="R14" i="1" s="1"/>
  <c r="U13" i="1"/>
  <c r="T13" i="1"/>
  <c r="S13" i="1"/>
  <c r="Z13" i="1" s="1"/>
  <c r="Q13" i="1"/>
  <c r="X13" i="1" s="1"/>
  <c r="U12" i="1"/>
  <c r="T12" i="1"/>
  <c r="S12" i="1"/>
  <c r="Z12" i="1" s="1"/>
  <c r="Q12" i="1"/>
  <c r="R12" i="1" s="1"/>
  <c r="U11" i="1"/>
  <c r="T11" i="1"/>
  <c r="S11" i="1"/>
  <c r="Z11" i="1" s="1"/>
  <c r="Q11" i="1"/>
  <c r="X11" i="1" s="1"/>
  <c r="U10" i="1"/>
  <c r="T10" i="1"/>
  <c r="S10" i="1"/>
  <c r="Z10" i="1" s="1"/>
  <c r="Q10" i="1"/>
  <c r="R10" i="1" s="1"/>
  <c r="Z18" i="1" l="1"/>
  <c r="Y11" i="1"/>
  <c r="U20" i="1"/>
  <c r="Z14" i="1"/>
  <c r="Z20" i="1" s="1"/>
  <c r="Y17" i="1"/>
  <c r="AA17" i="1" s="1"/>
  <c r="Y13" i="1"/>
  <c r="AB13" i="1" s="1"/>
  <c r="T20" i="1"/>
  <c r="Y16" i="1"/>
  <c r="AB16" i="1" s="1"/>
  <c r="AA11" i="1"/>
  <c r="AB11" i="1"/>
  <c r="AA15" i="1"/>
  <c r="AB15" i="1"/>
  <c r="AA19" i="1"/>
  <c r="AB19" i="1"/>
  <c r="Q20" i="1"/>
  <c r="R16" i="1"/>
  <c r="X10" i="1"/>
  <c r="X12" i="1"/>
  <c r="Y12" i="1" s="1"/>
  <c r="X14" i="1"/>
  <c r="Y14" i="1" s="1"/>
  <c r="X18" i="1"/>
  <c r="Y18" i="1" s="1"/>
  <c r="S20" i="1"/>
  <c r="R11" i="1"/>
  <c r="R13" i="1"/>
  <c r="R15" i="1"/>
  <c r="R17" i="1"/>
  <c r="R19" i="1"/>
  <c r="AA16" i="1" l="1"/>
  <c r="AA13" i="1"/>
  <c r="AD13" i="1" s="1"/>
  <c r="AE13" i="1" s="1"/>
  <c r="AD11" i="1"/>
  <c r="AE11" i="1" s="1"/>
  <c r="AD16" i="1"/>
  <c r="AE16" i="1" s="1"/>
  <c r="AD19" i="1"/>
  <c r="AE19" i="1" s="1"/>
  <c r="AB17" i="1"/>
  <c r="AD17" i="1" s="1"/>
  <c r="AE17" i="1" s="1"/>
  <c r="R20" i="1"/>
  <c r="AD15" i="1"/>
  <c r="AE15" i="1" s="1"/>
  <c r="AB18" i="1"/>
  <c r="AA18" i="1"/>
  <c r="AD18" i="1" s="1"/>
  <c r="AE18" i="1" s="1"/>
  <c r="AB12" i="1"/>
  <c r="AA12" i="1"/>
  <c r="AD12" i="1" s="1"/>
  <c r="AE12" i="1" s="1"/>
  <c r="X20" i="1"/>
  <c r="Y10" i="1"/>
  <c r="AB14" i="1"/>
  <c r="AA14" i="1"/>
  <c r="AD14" i="1" s="1"/>
  <c r="AE14" i="1" s="1"/>
  <c r="Y20" i="1" l="1"/>
  <c r="AB10" i="1"/>
  <c r="AB20" i="1" s="1"/>
  <c r="AA10" i="1"/>
  <c r="AA20" i="1" l="1"/>
  <c r="AD10" i="1"/>
  <c r="AD20" i="1" l="1"/>
  <c r="AE10" i="1"/>
  <c r="AE20" i="1" s="1"/>
</calcChain>
</file>

<file path=xl/sharedStrings.xml><?xml version="1.0" encoding="utf-8"?>
<sst xmlns="http://schemas.openxmlformats.org/spreadsheetml/2006/main" count="138" uniqueCount="107">
  <si>
    <t xml:space="preserve"> RS Man-Tech </t>
  </si>
  <si>
    <t>Salary Sheet For the month of January-2026</t>
  </si>
  <si>
    <t>Sl.No</t>
  </si>
  <si>
    <t>DOB</t>
  </si>
  <si>
    <t>UAN NUMBER</t>
  </si>
  <si>
    <t>NAME</t>
  </si>
  <si>
    <t>Unit</t>
  </si>
  <si>
    <t>EMP ID</t>
  </si>
  <si>
    <t>Designation</t>
  </si>
  <si>
    <t>ESI NO</t>
  </si>
  <si>
    <t>DOJ</t>
  </si>
  <si>
    <t>BANK A/C</t>
  </si>
  <si>
    <t>IFSC CODE</t>
  </si>
  <si>
    <t>Basic Days</t>
  </si>
  <si>
    <t>Actual Days</t>
  </si>
  <si>
    <t>FIXED</t>
  </si>
  <si>
    <t>EARNED</t>
  </si>
  <si>
    <t>DEDUCTION</t>
  </si>
  <si>
    <t>NET PAY</t>
  </si>
  <si>
    <t>BASIC</t>
  </si>
  <si>
    <t>DA</t>
  </si>
  <si>
    <t>HRA</t>
  </si>
  <si>
    <t>STATUORY BONUS</t>
  </si>
  <si>
    <t>TOTAL</t>
  </si>
  <si>
    <t>PF 12%</t>
  </si>
  <si>
    <t>ESI 0.75%</t>
  </si>
  <si>
    <t>PT</t>
  </si>
  <si>
    <t>ADV</t>
  </si>
  <si>
    <t>08.04.2002</t>
  </si>
  <si>
    <t>101582357032</t>
  </si>
  <si>
    <t>GAGAN H</t>
  </si>
  <si>
    <t>UNICHARM</t>
  </si>
  <si>
    <t>RSUBL0009</t>
  </si>
  <si>
    <t>Supervisor</t>
  </si>
  <si>
    <t>NON ESIC</t>
  </si>
  <si>
    <t>09.03.2023</t>
  </si>
  <si>
    <t>0649863707</t>
  </si>
  <si>
    <t>20.12.2001</t>
  </si>
  <si>
    <t>101578510634</t>
  </si>
  <si>
    <t>SANTHOSH KUMAR P</t>
  </si>
  <si>
    <t>RSUBL0011</t>
  </si>
  <si>
    <t>21.04.2023</t>
  </si>
  <si>
    <t>39903457792</t>
  </si>
  <si>
    <t>SBIN0022106</t>
  </si>
  <si>
    <t>30.05.1984</t>
  </si>
  <si>
    <t>100401656180</t>
  </si>
  <si>
    <t>VEERESH K S</t>
  </si>
  <si>
    <t>RSUBL0002</t>
  </si>
  <si>
    <t>Deo</t>
  </si>
  <si>
    <t>13.08.2021</t>
  </si>
  <si>
    <t>1919131000058</t>
  </si>
  <si>
    <t>CNRB0001919</t>
  </si>
  <si>
    <t>01.01.2000</t>
  </si>
  <si>
    <t>101591375862</t>
  </si>
  <si>
    <t>RANJTH KUMAR M</t>
  </si>
  <si>
    <t>RSUBL0006</t>
  </si>
  <si>
    <t>21.01.2023</t>
  </si>
  <si>
    <t>43906859114</t>
  </si>
  <si>
    <t>SBIN0040026</t>
  </si>
  <si>
    <t>06.04.2000</t>
  </si>
  <si>
    <t>101454927676</t>
  </si>
  <si>
    <t>HEMANTHKUMAR R</t>
  </si>
  <si>
    <t>RSUBL0018</t>
  </si>
  <si>
    <t>Pod</t>
  </si>
  <si>
    <t>18.11.2024</t>
  </si>
  <si>
    <t>7892500100072801</t>
  </si>
  <si>
    <t>KARB0000789</t>
  </si>
  <si>
    <t>18.04.2002</t>
  </si>
  <si>
    <t>101600714226</t>
  </si>
  <si>
    <t>RAGHAVENDRA M</t>
  </si>
  <si>
    <t>RSUBL0010</t>
  </si>
  <si>
    <t>Picker</t>
  </si>
  <si>
    <t>13.03.2023</t>
  </si>
  <si>
    <t>374501000005067</t>
  </si>
  <si>
    <t>IOBA0003745</t>
  </si>
  <si>
    <t>01.01.1999</t>
  </si>
  <si>
    <t>101439456054</t>
  </si>
  <si>
    <t>NAGARAJU H</t>
  </si>
  <si>
    <t>RSUBL0016</t>
  </si>
  <si>
    <t>13.03.2024</t>
  </si>
  <si>
    <t>67180100029741</t>
  </si>
  <si>
    <t>BARB0VJNELA</t>
  </si>
  <si>
    <t>07.10.1992</t>
  </si>
  <si>
    <t>101276061630</t>
  </si>
  <si>
    <t>PRAVEEN KUMAR N</t>
  </si>
  <si>
    <t>RSUBL0007</t>
  </si>
  <si>
    <t>23.01.2023</t>
  </si>
  <si>
    <t>UBIN0900923</t>
  </si>
  <si>
    <t>14.06.1995</t>
  </si>
  <si>
    <t>101173611241</t>
  </si>
  <si>
    <t>MADHU K</t>
  </si>
  <si>
    <t>RSUBL0013</t>
  </si>
  <si>
    <t>11.11.2023</t>
  </si>
  <si>
    <t>4847281998</t>
  </si>
  <si>
    <t>01.01.1964</t>
  </si>
  <si>
    <t>101087072366</t>
  </si>
  <si>
    <t>RAJANNA</t>
  </si>
  <si>
    <t>RSUBL0012</t>
  </si>
  <si>
    <t>H/K</t>
  </si>
  <si>
    <t>18.10.2023</t>
  </si>
  <si>
    <t>110152200524</t>
  </si>
  <si>
    <t>CNRB0006272</t>
  </si>
  <si>
    <t>GRAND TOTAL</t>
  </si>
  <si>
    <t>email</t>
  </si>
  <si>
    <t>phone no</t>
  </si>
  <si>
    <t>hemanth78917@gmail.com</t>
  </si>
  <si>
    <t>rshashank659@gmail.com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</si>
</sst>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b/>
      <sz val="12"/>
      <color theme="1"/>
      <name val="Verdana"/>
      <family val="2"/>
    </font>
    <font>
      <sz val="10"/>
      <name val="Arial"/>
      <family val="2"/>
    </font>
    <font>
      <sz val="11"/>
      <color theme="1"/>
      <name val="Verdana"/>
      <family val="2"/>
    </font>
    <font>
      <sz val="12"/>
      <color rgb="FF000000"/>
      <name val="Verdana"/>
      <family val="2"/>
    </font>
    <font>
      <sz val="12"/>
      <name val="Arial"/>
      <family val="2"/>
    </font>
    <font>
      <sz val="11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3" fillId="0" borderId="1" xfId="1" quotePrefix="1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15" fontId="9" fillId="0" borderId="0" xfId="0" applyNumberFormat="1" applyFont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10" fillId="0" borderId="0" xfId="4" applyAlignment="1">
      <alignment horizontal="center" vertical="center"/>
    </xf>
  </cellXfs>
  <cellStyles count="5">
    <cellStyle name="Hyperlink" xfId="4" builtinId="8"/>
    <cellStyle name="Normal" xfId="0" builtinId="0"/>
    <cellStyle name="Normal 10" xfId="2" xr:uid="{B7600D0B-ADBD-4228-AF90-C8BBA84D32CA}"/>
    <cellStyle name="Normal 2 2" xfId="1" xr:uid="{ECA7CE6E-29DA-48D8-A2C2-2807ADD3AD25}"/>
    <cellStyle name="Normal 7" xfId="3" xr:uid="{0C229244-EB26-4BAE-AFAA-A916BE207E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447675</xdr:colOff>
      <xdr:row>0</xdr:row>
      <xdr:rowOff>38100</xdr:rowOff>
    </xdr:from>
    <xdr:to>
      <xdr:col>19</xdr:col>
      <xdr:colOff>161925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2E3BE-F043-4AC8-9532-353C32199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950" y="38100"/>
          <a:ext cx="9334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shashank659@gmail.com" TargetMode="External"/><Relationship Id="rId2" Type="http://schemas.openxmlformats.org/officeDocument/2006/relationships/hyperlink" Target="mailto:rshashank659@gmail.com" TargetMode="External"/><Relationship Id="rId1" Type="http://schemas.openxmlformats.org/officeDocument/2006/relationships/hyperlink" Target="mailto:hemanth78917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F708-1E3A-4975-ADE5-025983470716}">
  <dimension ref="A1:AG24"/>
  <sheetViews>
    <sheetView tabSelected="1" topLeftCell="T10" workbookViewId="0">
      <selection activeCell="AG16" sqref="AG16"/>
    </sheetView>
  </sheetViews>
  <sheetFormatPr defaultColWidth="9.33203125" defaultRowHeight="16.2" x14ac:dyDescent="0.3"/>
  <cols>
    <col min="1" max="1" width="11" style="1" customWidth="1"/>
    <col min="2" max="2" width="13.44140625" style="2" hidden="1" customWidth="1"/>
    <col min="3" max="3" width="23" style="1" bestFit="1" customWidth="1"/>
    <col min="4" max="4" width="33.44140625" style="1" customWidth="1"/>
    <col min="5" max="5" width="13.6640625" style="1" hidden="1" customWidth="1"/>
    <col min="6" max="6" width="16.33203125" style="1" hidden="1" customWidth="1"/>
    <col min="7" max="7" width="20.6640625" style="1" hidden="1" customWidth="1"/>
    <col min="8" max="8" width="15.6640625" style="1" hidden="1" customWidth="1"/>
    <col min="9" max="9" width="14.44140625" style="3" customWidth="1"/>
    <col min="10" max="10" width="24.5546875" style="1" customWidth="1"/>
    <col min="11" max="11" width="20.88671875" style="1" customWidth="1"/>
    <col min="12" max="12" width="12.6640625" style="1" customWidth="1"/>
    <col min="13" max="13" width="11.33203125" style="1" customWidth="1"/>
    <col min="14" max="14" width="10.5546875" style="1" customWidth="1"/>
    <col min="15" max="16" width="9" style="1" customWidth="1"/>
    <col min="17" max="17" width="13.109375" style="1" customWidth="1"/>
    <col min="18" max="19" width="10.5546875" style="1" customWidth="1"/>
    <col min="20" max="20" width="9" style="1" customWidth="1"/>
    <col min="21" max="21" width="10.6640625" style="1" customWidth="1"/>
    <col min="22" max="23" width="2.6640625" style="1" customWidth="1"/>
    <col min="24" max="24" width="13.109375" style="1" customWidth="1"/>
    <col min="25" max="25" width="10.5546875" style="1" customWidth="1"/>
    <col min="26" max="26" width="11" style="1" customWidth="1"/>
    <col min="27" max="27" width="10.88671875" style="1" customWidth="1"/>
    <col min="28" max="28" width="7.5546875" style="1" customWidth="1"/>
    <col min="29" max="29" width="7" style="1" customWidth="1"/>
    <col min="30" max="30" width="9.44140625" style="1" customWidth="1"/>
    <col min="31" max="31" width="17" style="1" customWidth="1"/>
    <col min="32" max="32" width="29" style="1" customWidth="1"/>
    <col min="33" max="33" width="18.6640625" style="1" customWidth="1"/>
    <col min="34" max="247" width="9.33203125" style="1"/>
    <col min="248" max="248" width="11" style="1" customWidth="1"/>
    <col min="249" max="249" width="0" style="1" hidden="1" customWidth="1"/>
    <col min="250" max="250" width="23" style="1" bestFit="1" customWidth="1"/>
    <col min="251" max="251" width="33.44140625" style="1" customWidth="1"/>
    <col min="252" max="255" width="0" style="1" hidden="1" customWidth="1"/>
    <col min="256" max="256" width="14.44140625" style="1" customWidth="1"/>
    <col min="257" max="257" width="24.5546875" style="1" customWidth="1"/>
    <col min="258" max="258" width="20.88671875" style="1" customWidth="1"/>
    <col min="259" max="259" width="12.6640625" style="1" customWidth="1"/>
    <col min="260" max="260" width="11.33203125" style="1" customWidth="1"/>
    <col min="261" max="261" width="10.5546875" style="1" customWidth="1"/>
    <col min="262" max="263" width="9" style="1" customWidth="1"/>
    <col min="264" max="264" width="13.109375" style="1" customWidth="1"/>
    <col min="265" max="266" width="10.5546875" style="1" customWidth="1"/>
    <col min="267" max="267" width="9" style="1" customWidth="1"/>
    <col min="268" max="268" width="10.6640625" style="1" customWidth="1"/>
    <col min="269" max="270" width="0" style="1" hidden="1" customWidth="1"/>
    <col min="271" max="271" width="13.109375" style="1" customWidth="1"/>
    <col min="272" max="272" width="10.5546875" style="1" customWidth="1"/>
    <col min="273" max="273" width="11" style="1" customWidth="1"/>
    <col min="274" max="274" width="10.88671875" style="1" customWidth="1"/>
    <col min="275" max="275" width="7.5546875" style="1" customWidth="1"/>
    <col min="276" max="276" width="0" style="1" hidden="1" customWidth="1"/>
    <col min="277" max="277" width="9.44140625" style="1" customWidth="1"/>
    <col min="278" max="278" width="17" style="1" customWidth="1"/>
    <col min="279" max="279" width="11.33203125" style="1" customWidth="1"/>
    <col min="280" max="280" width="11" style="1" customWidth="1"/>
    <col min="281" max="281" width="9.44140625" style="1" customWidth="1"/>
    <col min="282" max="282" width="14.6640625" style="1" bestFit="1" customWidth="1"/>
    <col min="283" max="283" width="16.33203125" style="1" customWidth="1"/>
    <col min="284" max="284" width="12.6640625" style="1" customWidth="1"/>
    <col min="285" max="285" width="9.33203125" style="1"/>
    <col min="286" max="286" width="13.44140625" style="1" customWidth="1"/>
    <col min="287" max="503" width="9.33203125" style="1"/>
    <col min="504" max="504" width="11" style="1" customWidth="1"/>
    <col min="505" max="505" width="0" style="1" hidden="1" customWidth="1"/>
    <col min="506" max="506" width="23" style="1" bestFit="1" customWidth="1"/>
    <col min="507" max="507" width="33.44140625" style="1" customWidth="1"/>
    <col min="508" max="511" width="0" style="1" hidden="1" customWidth="1"/>
    <col min="512" max="512" width="14.44140625" style="1" customWidth="1"/>
    <col min="513" max="513" width="24.5546875" style="1" customWidth="1"/>
    <col min="514" max="514" width="20.88671875" style="1" customWidth="1"/>
    <col min="515" max="515" width="12.6640625" style="1" customWidth="1"/>
    <col min="516" max="516" width="11.33203125" style="1" customWidth="1"/>
    <col min="517" max="517" width="10.5546875" style="1" customWidth="1"/>
    <col min="518" max="519" width="9" style="1" customWidth="1"/>
    <col min="520" max="520" width="13.109375" style="1" customWidth="1"/>
    <col min="521" max="522" width="10.5546875" style="1" customWidth="1"/>
    <col min="523" max="523" width="9" style="1" customWidth="1"/>
    <col min="524" max="524" width="10.6640625" style="1" customWidth="1"/>
    <col min="525" max="526" width="0" style="1" hidden="1" customWidth="1"/>
    <col min="527" max="527" width="13.109375" style="1" customWidth="1"/>
    <col min="528" max="528" width="10.5546875" style="1" customWidth="1"/>
    <col min="529" max="529" width="11" style="1" customWidth="1"/>
    <col min="530" max="530" width="10.88671875" style="1" customWidth="1"/>
    <col min="531" max="531" width="7.5546875" style="1" customWidth="1"/>
    <col min="532" max="532" width="0" style="1" hidden="1" customWidth="1"/>
    <col min="533" max="533" width="9.44140625" style="1" customWidth="1"/>
    <col min="534" max="534" width="17" style="1" customWidth="1"/>
    <col min="535" max="535" width="11.33203125" style="1" customWidth="1"/>
    <col min="536" max="536" width="11" style="1" customWidth="1"/>
    <col min="537" max="537" width="9.44140625" style="1" customWidth="1"/>
    <col min="538" max="538" width="14.6640625" style="1" bestFit="1" customWidth="1"/>
    <col min="539" max="539" width="16.33203125" style="1" customWidth="1"/>
    <col min="540" max="540" width="12.6640625" style="1" customWidth="1"/>
    <col min="541" max="541" width="9.33203125" style="1"/>
    <col min="542" max="542" width="13.44140625" style="1" customWidth="1"/>
    <col min="543" max="759" width="9.33203125" style="1"/>
    <col min="760" max="760" width="11" style="1" customWidth="1"/>
    <col min="761" max="761" width="0" style="1" hidden="1" customWidth="1"/>
    <col min="762" max="762" width="23" style="1" bestFit="1" customWidth="1"/>
    <col min="763" max="763" width="33.44140625" style="1" customWidth="1"/>
    <col min="764" max="767" width="0" style="1" hidden="1" customWidth="1"/>
    <col min="768" max="768" width="14.44140625" style="1" customWidth="1"/>
    <col min="769" max="769" width="24.5546875" style="1" customWidth="1"/>
    <col min="770" max="770" width="20.88671875" style="1" customWidth="1"/>
    <col min="771" max="771" width="12.6640625" style="1" customWidth="1"/>
    <col min="772" max="772" width="11.33203125" style="1" customWidth="1"/>
    <col min="773" max="773" width="10.5546875" style="1" customWidth="1"/>
    <col min="774" max="775" width="9" style="1" customWidth="1"/>
    <col min="776" max="776" width="13.109375" style="1" customWidth="1"/>
    <col min="777" max="778" width="10.5546875" style="1" customWidth="1"/>
    <col min="779" max="779" width="9" style="1" customWidth="1"/>
    <col min="780" max="780" width="10.6640625" style="1" customWidth="1"/>
    <col min="781" max="782" width="0" style="1" hidden="1" customWidth="1"/>
    <col min="783" max="783" width="13.109375" style="1" customWidth="1"/>
    <col min="784" max="784" width="10.5546875" style="1" customWidth="1"/>
    <col min="785" max="785" width="11" style="1" customWidth="1"/>
    <col min="786" max="786" width="10.88671875" style="1" customWidth="1"/>
    <col min="787" max="787" width="7.5546875" style="1" customWidth="1"/>
    <col min="788" max="788" width="0" style="1" hidden="1" customWidth="1"/>
    <col min="789" max="789" width="9.44140625" style="1" customWidth="1"/>
    <col min="790" max="790" width="17" style="1" customWidth="1"/>
    <col min="791" max="791" width="11.33203125" style="1" customWidth="1"/>
    <col min="792" max="792" width="11" style="1" customWidth="1"/>
    <col min="793" max="793" width="9.44140625" style="1" customWidth="1"/>
    <col min="794" max="794" width="14.6640625" style="1" bestFit="1" customWidth="1"/>
    <col min="795" max="795" width="16.33203125" style="1" customWidth="1"/>
    <col min="796" max="796" width="12.6640625" style="1" customWidth="1"/>
    <col min="797" max="797" width="9.33203125" style="1"/>
    <col min="798" max="798" width="13.44140625" style="1" customWidth="1"/>
    <col min="799" max="1015" width="9.33203125" style="1"/>
    <col min="1016" max="1016" width="11" style="1" customWidth="1"/>
    <col min="1017" max="1017" width="0" style="1" hidden="1" customWidth="1"/>
    <col min="1018" max="1018" width="23" style="1" bestFit="1" customWidth="1"/>
    <col min="1019" max="1019" width="33.44140625" style="1" customWidth="1"/>
    <col min="1020" max="1023" width="0" style="1" hidden="1" customWidth="1"/>
    <col min="1024" max="1024" width="14.44140625" style="1" customWidth="1"/>
    <col min="1025" max="1025" width="24.5546875" style="1" customWidth="1"/>
    <col min="1026" max="1026" width="20.88671875" style="1" customWidth="1"/>
    <col min="1027" max="1027" width="12.6640625" style="1" customWidth="1"/>
    <col min="1028" max="1028" width="11.33203125" style="1" customWidth="1"/>
    <col min="1029" max="1029" width="10.5546875" style="1" customWidth="1"/>
    <col min="1030" max="1031" width="9" style="1" customWidth="1"/>
    <col min="1032" max="1032" width="13.109375" style="1" customWidth="1"/>
    <col min="1033" max="1034" width="10.5546875" style="1" customWidth="1"/>
    <col min="1035" max="1035" width="9" style="1" customWidth="1"/>
    <col min="1036" max="1036" width="10.6640625" style="1" customWidth="1"/>
    <col min="1037" max="1038" width="0" style="1" hidden="1" customWidth="1"/>
    <col min="1039" max="1039" width="13.109375" style="1" customWidth="1"/>
    <col min="1040" max="1040" width="10.5546875" style="1" customWidth="1"/>
    <col min="1041" max="1041" width="11" style="1" customWidth="1"/>
    <col min="1042" max="1042" width="10.88671875" style="1" customWidth="1"/>
    <col min="1043" max="1043" width="7.5546875" style="1" customWidth="1"/>
    <col min="1044" max="1044" width="0" style="1" hidden="1" customWidth="1"/>
    <col min="1045" max="1045" width="9.44140625" style="1" customWidth="1"/>
    <col min="1046" max="1046" width="17" style="1" customWidth="1"/>
    <col min="1047" max="1047" width="11.33203125" style="1" customWidth="1"/>
    <col min="1048" max="1048" width="11" style="1" customWidth="1"/>
    <col min="1049" max="1049" width="9.44140625" style="1" customWidth="1"/>
    <col min="1050" max="1050" width="14.6640625" style="1" bestFit="1" customWidth="1"/>
    <col min="1051" max="1051" width="16.33203125" style="1" customWidth="1"/>
    <col min="1052" max="1052" width="12.6640625" style="1" customWidth="1"/>
    <col min="1053" max="1053" width="9.33203125" style="1"/>
    <col min="1054" max="1054" width="13.44140625" style="1" customWidth="1"/>
    <col min="1055" max="1271" width="9.33203125" style="1"/>
    <col min="1272" max="1272" width="11" style="1" customWidth="1"/>
    <col min="1273" max="1273" width="0" style="1" hidden="1" customWidth="1"/>
    <col min="1274" max="1274" width="23" style="1" bestFit="1" customWidth="1"/>
    <col min="1275" max="1275" width="33.44140625" style="1" customWidth="1"/>
    <col min="1276" max="1279" width="0" style="1" hidden="1" customWidth="1"/>
    <col min="1280" max="1280" width="14.44140625" style="1" customWidth="1"/>
    <col min="1281" max="1281" width="24.5546875" style="1" customWidth="1"/>
    <col min="1282" max="1282" width="20.88671875" style="1" customWidth="1"/>
    <col min="1283" max="1283" width="12.6640625" style="1" customWidth="1"/>
    <col min="1284" max="1284" width="11.33203125" style="1" customWidth="1"/>
    <col min="1285" max="1285" width="10.5546875" style="1" customWidth="1"/>
    <col min="1286" max="1287" width="9" style="1" customWidth="1"/>
    <col min="1288" max="1288" width="13.109375" style="1" customWidth="1"/>
    <col min="1289" max="1290" width="10.5546875" style="1" customWidth="1"/>
    <col min="1291" max="1291" width="9" style="1" customWidth="1"/>
    <col min="1292" max="1292" width="10.6640625" style="1" customWidth="1"/>
    <col min="1293" max="1294" width="0" style="1" hidden="1" customWidth="1"/>
    <col min="1295" max="1295" width="13.109375" style="1" customWidth="1"/>
    <col min="1296" max="1296" width="10.5546875" style="1" customWidth="1"/>
    <col min="1297" max="1297" width="11" style="1" customWidth="1"/>
    <col min="1298" max="1298" width="10.88671875" style="1" customWidth="1"/>
    <col min="1299" max="1299" width="7.5546875" style="1" customWidth="1"/>
    <col min="1300" max="1300" width="0" style="1" hidden="1" customWidth="1"/>
    <col min="1301" max="1301" width="9.44140625" style="1" customWidth="1"/>
    <col min="1302" max="1302" width="17" style="1" customWidth="1"/>
    <col min="1303" max="1303" width="11.33203125" style="1" customWidth="1"/>
    <col min="1304" max="1304" width="11" style="1" customWidth="1"/>
    <col min="1305" max="1305" width="9.44140625" style="1" customWidth="1"/>
    <col min="1306" max="1306" width="14.6640625" style="1" bestFit="1" customWidth="1"/>
    <col min="1307" max="1307" width="16.33203125" style="1" customWidth="1"/>
    <col min="1308" max="1308" width="12.6640625" style="1" customWidth="1"/>
    <col min="1309" max="1309" width="9.33203125" style="1"/>
    <col min="1310" max="1310" width="13.44140625" style="1" customWidth="1"/>
    <col min="1311" max="1527" width="9.33203125" style="1"/>
    <col min="1528" max="1528" width="11" style="1" customWidth="1"/>
    <col min="1529" max="1529" width="0" style="1" hidden="1" customWidth="1"/>
    <col min="1530" max="1530" width="23" style="1" bestFit="1" customWidth="1"/>
    <col min="1531" max="1531" width="33.44140625" style="1" customWidth="1"/>
    <col min="1532" max="1535" width="0" style="1" hidden="1" customWidth="1"/>
    <col min="1536" max="1536" width="14.44140625" style="1" customWidth="1"/>
    <col min="1537" max="1537" width="24.5546875" style="1" customWidth="1"/>
    <col min="1538" max="1538" width="20.88671875" style="1" customWidth="1"/>
    <col min="1539" max="1539" width="12.6640625" style="1" customWidth="1"/>
    <col min="1540" max="1540" width="11.33203125" style="1" customWidth="1"/>
    <col min="1541" max="1541" width="10.5546875" style="1" customWidth="1"/>
    <col min="1542" max="1543" width="9" style="1" customWidth="1"/>
    <col min="1544" max="1544" width="13.109375" style="1" customWidth="1"/>
    <col min="1545" max="1546" width="10.5546875" style="1" customWidth="1"/>
    <col min="1547" max="1547" width="9" style="1" customWidth="1"/>
    <col min="1548" max="1548" width="10.6640625" style="1" customWidth="1"/>
    <col min="1549" max="1550" width="0" style="1" hidden="1" customWidth="1"/>
    <col min="1551" max="1551" width="13.109375" style="1" customWidth="1"/>
    <col min="1552" max="1552" width="10.5546875" style="1" customWidth="1"/>
    <col min="1553" max="1553" width="11" style="1" customWidth="1"/>
    <col min="1554" max="1554" width="10.88671875" style="1" customWidth="1"/>
    <col min="1555" max="1555" width="7.5546875" style="1" customWidth="1"/>
    <col min="1556" max="1556" width="0" style="1" hidden="1" customWidth="1"/>
    <col min="1557" max="1557" width="9.44140625" style="1" customWidth="1"/>
    <col min="1558" max="1558" width="17" style="1" customWidth="1"/>
    <col min="1559" max="1559" width="11.33203125" style="1" customWidth="1"/>
    <col min="1560" max="1560" width="11" style="1" customWidth="1"/>
    <col min="1561" max="1561" width="9.44140625" style="1" customWidth="1"/>
    <col min="1562" max="1562" width="14.6640625" style="1" bestFit="1" customWidth="1"/>
    <col min="1563" max="1563" width="16.33203125" style="1" customWidth="1"/>
    <col min="1564" max="1564" width="12.6640625" style="1" customWidth="1"/>
    <col min="1565" max="1565" width="9.33203125" style="1"/>
    <col min="1566" max="1566" width="13.44140625" style="1" customWidth="1"/>
    <col min="1567" max="1783" width="9.33203125" style="1"/>
    <col min="1784" max="1784" width="11" style="1" customWidth="1"/>
    <col min="1785" max="1785" width="0" style="1" hidden="1" customWidth="1"/>
    <col min="1786" max="1786" width="23" style="1" bestFit="1" customWidth="1"/>
    <col min="1787" max="1787" width="33.44140625" style="1" customWidth="1"/>
    <col min="1788" max="1791" width="0" style="1" hidden="1" customWidth="1"/>
    <col min="1792" max="1792" width="14.44140625" style="1" customWidth="1"/>
    <col min="1793" max="1793" width="24.5546875" style="1" customWidth="1"/>
    <col min="1794" max="1794" width="20.88671875" style="1" customWidth="1"/>
    <col min="1795" max="1795" width="12.6640625" style="1" customWidth="1"/>
    <col min="1796" max="1796" width="11.33203125" style="1" customWidth="1"/>
    <col min="1797" max="1797" width="10.5546875" style="1" customWidth="1"/>
    <col min="1798" max="1799" width="9" style="1" customWidth="1"/>
    <col min="1800" max="1800" width="13.109375" style="1" customWidth="1"/>
    <col min="1801" max="1802" width="10.5546875" style="1" customWidth="1"/>
    <col min="1803" max="1803" width="9" style="1" customWidth="1"/>
    <col min="1804" max="1804" width="10.6640625" style="1" customWidth="1"/>
    <col min="1805" max="1806" width="0" style="1" hidden="1" customWidth="1"/>
    <col min="1807" max="1807" width="13.109375" style="1" customWidth="1"/>
    <col min="1808" max="1808" width="10.5546875" style="1" customWidth="1"/>
    <col min="1809" max="1809" width="11" style="1" customWidth="1"/>
    <col min="1810" max="1810" width="10.88671875" style="1" customWidth="1"/>
    <col min="1811" max="1811" width="7.5546875" style="1" customWidth="1"/>
    <col min="1812" max="1812" width="0" style="1" hidden="1" customWidth="1"/>
    <col min="1813" max="1813" width="9.44140625" style="1" customWidth="1"/>
    <col min="1814" max="1814" width="17" style="1" customWidth="1"/>
    <col min="1815" max="1815" width="11.33203125" style="1" customWidth="1"/>
    <col min="1816" max="1816" width="11" style="1" customWidth="1"/>
    <col min="1817" max="1817" width="9.44140625" style="1" customWidth="1"/>
    <col min="1818" max="1818" width="14.6640625" style="1" bestFit="1" customWidth="1"/>
    <col min="1819" max="1819" width="16.33203125" style="1" customWidth="1"/>
    <col min="1820" max="1820" width="12.6640625" style="1" customWidth="1"/>
    <col min="1821" max="1821" width="9.33203125" style="1"/>
    <col min="1822" max="1822" width="13.44140625" style="1" customWidth="1"/>
    <col min="1823" max="2039" width="9.33203125" style="1"/>
    <col min="2040" max="2040" width="11" style="1" customWidth="1"/>
    <col min="2041" max="2041" width="0" style="1" hidden="1" customWidth="1"/>
    <col min="2042" max="2042" width="23" style="1" bestFit="1" customWidth="1"/>
    <col min="2043" max="2043" width="33.44140625" style="1" customWidth="1"/>
    <col min="2044" max="2047" width="0" style="1" hidden="1" customWidth="1"/>
    <col min="2048" max="2048" width="14.44140625" style="1" customWidth="1"/>
    <col min="2049" max="2049" width="24.5546875" style="1" customWidth="1"/>
    <col min="2050" max="2050" width="20.88671875" style="1" customWidth="1"/>
    <col min="2051" max="2051" width="12.6640625" style="1" customWidth="1"/>
    <col min="2052" max="2052" width="11.33203125" style="1" customWidth="1"/>
    <col min="2053" max="2053" width="10.5546875" style="1" customWidth="1"/>
    <col min="2054" max="2055" width="9" style="1" customWidth="1"/>
    <col min="2056" max="2056" width="13.109375" style="1" customWidth="1"/>
    <col min="2057" max="2058" width="10.5546875" style="1" customWidth="1"/>
    <col min="2059" max="2059" width="9" style="1" customWidth="1"/>
    <col min="2060" max="2060" width="10.6640625" style="1" customWidth="1"/>
    <col min="2061" max="2062" width="0" style="1" hidden="1" customWidth="1"/>
    <col min="2063" max="2063" width="13.109375" style="1" customWidth="1"/>
    <col min="2064" max="2064" width="10.5546875" style="1" customWidth="1"/>
    <col min="2065" max="2065" width="11" style="1" customWidth="1"/>
    <col min="2066" max="2066" width="10.88671875" style="1" customWidth="1"/>
    <col min="2067" max="2067" width="7.5546875" style="1" customWidth="1"/>
    <col min="2068" max="2068" width="0" style="1" hidden="1" customWidth="1"/>
    <col min="2069" max="2069" width="9.44140625" style="1" customWidth="1"/>
    <col min="2070" max="2070" width="17" style="1" customWidth="1"/>
    <col min="2071" max="2071" width="11.33203125" style="1" customWidth="1"/>
    <col min="2072" max="2072" width="11" style="1" customWidth="1"/>
    <col min="2073" max="2073" width="9.44140625" style="1" customWidth="1"/>
    <col min="2074" max="2074" width="14.6640625" style="1" bestFit="1" customWidth="1"/>
    <col min="2075" max="2075" width="16.33203125" style="1" customWidth="1"/>
    <col min="2076" max="2076" width="12.6640625" style="1" customWidth="1"/>
    <col min="2077" max="2077" width="9.33203125" style="1"/>
    <col min="2078" max="2078" width="13.44140625" style="1" customWidth="1"/>
    <col min="2079" max="2295" width="9.33203125" style="1"/>
    <col min="2296" max="2296" width="11" style="1" customWidth="1"/>
    <col min="2297" max="2297" width="0" style="1" hidden="1" customWidth="1"/>
    <col min="2298" max="2298" width="23" style="1" bestFit="1" customWidth="1"/>
    <col min="2299" max="2299" width="33.44140625" style="1" customWidth="1"/>
    <col min="2300" max="2303" width="0" style="1" hidden="1" customWidth="1"/>
    <col min="2304" max="2304" width="14.44140625" style="1" customWidth="1"/>
    <col min="2305" max="2305" width="24.5546875" style="1" customWidth="1"/>
    <col min="2306" max="2306" width="20.88671875" style="1" customWidth="1"/>
    <col min="2307" max="2307" width="12.6640625" style="1" customWidth="1"/>
    <col min="2308" max="2308" width="11.33203125" style="1" customWidth="1"/>
    <col min="2309" max="2309" width="10.5546875" style="1" customWidth="1"/>
    <col min="2310" max="2311" width="9" style="1" customWidth="1"/>
    <col min="2312" max="2312" width="13.109375" style="1" customWidth="1"/>
    <col min="2313" max="2314" width="10.5546875" style="1" customWidth="1"/>
    <col min="2315" max="2315" width="9" style="1" customWidth="1"/>
    <col min="2316" max="2316" width="10.6640625" style="1" customWidth="1"/>
    <col min="2317" max="2318" width="0" style="1" hidden="1" customWidth="1"/>
    <col min="2319" max="2319" width="13.109375" style="1" customWidth="1"/>
    <col min="2320" max="2320" width="10.5546875" style="1" customWidth="1"/>
    <col min="2321" max="2321" width="11" style="1" customWidth="1"/>
    <col min="2322" max="2322" width="10.88671875" style="1" customWidth="1"/>
    <col min="2323" max="2323" width="7.5546875" style="1" customWidth="1"/>
    <col min="2324" max="2324" width="0" style="1" hidden="1" customWidth="1"/>
    <col min="2325" max="2325" width="9.44140625" style="1" customWidth="1"/>
    <col min="2326" max="2326" width="17" style="1" customWidth="1"/>
    <col min="2327" max="2327" width="11.33203125" style="1" customWidth="1"/>
    <col min="2328" max="2328" width="11" style="1" customWidth="1"/>
    <col min="2329" max="2329" width="9.44140625" style="1" customWidth="1"/>
    <col min="2330" max="2330" width="14.6640625" style="1" bestFit="1" customWidth="1"/>
    <col min="2331" max="2331" width="16.33203125" style="1" customWidth="1"/>
    <col min="2332" max="2332" width="12.6640625" style="1" customWidth="1"/>
    <col min="2333" max="2333" width="9.33203125" style="1"/>
    <col min="2334" max="2334" width="13.44140625" style="1" customWidth="1"/>
    <col min="2335" max="2551" width="9.33203125" style="1"/>
    <col min="2552" max="2552" width="11" style="1" customWidth="1"/>
    <col min="2553" max="2553" width="0" style="1" hidden="1" customWidth="1"/>
    <col min="2554" max="2554" width="23" style="1" bestFit="1" customWidth="1"/>
    <col min="2555" max="2555" width="33.44140625" style="1" customWidth="1"/>
    <col min="2556" max="2559" width="0" style="1" hidden="1" customWidth="1"/>
    <col min="2560" max="2560" width="14.44140625" style="1" customWidth="1"/>
    <col min="2561" max="2561" width="24.5546875" style="1" customWidth="1"/>
    <col min="2562" max="2562" width="20.88671875" style="1" customWidth="1"/>
    <col min="2563" max="2563" width="12.6640625" style="1" customWidth="1"/>
    <col min="2564" max="2564" width="11.33203125" style="1" customWidth="1"/>
    <col min="2565" max="2565" width="10.5546875" style="1" customWidth="1"/>
    <col min="2566" max="2567" width="9" style="1" customWidth="1"/>
    <col min="2568" max="2568" width="13.109375" style="1" customWidth="1"/>
    <col min="2569" max="2570" width="10.5546875" style="1" customWidth="1"/>
    <col min="2571" max="2571" width="9" style="1" customWidth="1"/>
    <col min="2572" max="2572" width="10.6640625" style="1" customWidth="1"/>
    <col min="2573" max="2574" width="0" style="1" hidden="1" customWidth="1"/>
    <col min="2575" max="2575" width="13.109375" style="1" customWidth="1"/>
    <col min="2576" max="2576" width="10.5546875" style="1" customWidth="1"/>
    <col min="2577" max="2577" width="11" style="1" customWidth="1"/>
    <col min="2578" max="2578" width="10.88671875" style="1" customWidth="1"/>
    <col min="2579" max="2579" width="7.5546875" style="1" customWidth="1"/>
    <col min="2580" max="2580" width="0" style="1" hidden="1" customWidth="1"/>
    <col min="2581" max="2581" width="9.44140625" style="1" customWidth="1"/>
    <col min="2582" max="2582" width="17" style="1" customWidth="1"/>
    <col min="2583" max="2583" width="11.33203125" style="1" customWidth="1"/>
    <col min="2584" max="2584" width="11" style="1" customWidth="1"/>
    <col min="2585" max="2585" width="9.44140625" style="1" customWidth="1"/>
    <col min="2586" max="2586" width="14.6640625" style="1" bestFit="1" customWidth="1"/>
    <col min="2587" max="2587" width="16.33203125" style="1" customWidth="1"/>
    <col min="2588" max="2588" width="12.6640625" style="1" customWidth="1"/>
    <col min="2589" max="2589" width="9.33203125" style="1"/>
    <col min="2590" max="2590" width="13.44140625" style="1" customWidth="1"/>
    <col min="2591" max="2807" width="9.33203125" style="1"/>
    <col min="2808" max="2808" width="11" style="1" customWidth="1"/>
    <col min="2809" max="2809" width="0" style="1" hidden="1" customWidth="1"/>
    <col min="2810" max="2810" width="23" style="1" bestFit="1" customWidth="1"/>
    <col min="2811" max="2811" width="33.44140625" style="1" customWidth="1"/>
    <col min="2812" max="2815" width="0" style="1" hidden="1" customWidth="1"/>
    <col min="2816" max="2816" width="14.44140625" style="1" customWidth="1"/>
    <col min="2817" max="2817" width="24.5546875" style="1" customWidth="1"/>
    <col min="2818" max="2818" width="20.88671875" style="1" customWidth="1"/>
    <col min="2819" max="2819" width="12.6640625" style="1" customWidth="1"/>
    <col min="2820" max="2820" width="11.33203125" style="1" customWidth="1"/>
    <col min="2821" max="2821" width="10.5546875" style="1" customWidth="1"/>
    <col min="2822" max="2823" width="9" style="1" customWidth="1"/>
    <col min="2824" max="2824" width="13.109375" style="1" customWidth="1"/>
    <col min="2825" max="2826" width="10.5546875" style="1" customWidth="1"/>
    <col min="2827" max="2827" width="9" style="1" customWidth="1"/>
    <col min="2828" max="2828" width="10.6640625" style="1" customWidth="1"/>
    <col min="2829" max="2830" width="0" style="1" hidden="1" customWidth="1"/>
    <col min="2831" max="2831" width="13.109375" style="1" customWidth="1"/>
    <col min="2832" max="2832" width="10.5546875" style="1" customWidth="1"/>
    <col min="2833" max="2833" width="11" style="1" customWidth="1"/>
    <col min="2834" max="2834" width="10.88671875" style="1" customWidth="1"/>
    <col min="2835" max="2835" width="7.5546875" style="1" customWidth="1"/>
    <col min="2836" max="2836" width="0" style="1" hidden="1" customWidth="1"/>
    <col min="2837" max="2837" width="9.44140625" style="1" customWidth="1"/>
    <col min="2838" max="2838" width="17" style="1" customWidth="1"/>
    <col min="2839" max="2839" width="11.33203125" style="1" customWidth="1"/>
    <col min="2840" max="2840" width="11" style="1" customWidth="1"/>
    <col min="2841" max="2841" width="9.44140625" style="1" customWidth="1"/>
    <col min="2842" max="2842" width="14.6640625" style="1" bestFit="1" customWidth="1"/>
    <col min="2843" max="2843" width="16.33203125" style="1" customWidth="1"/>
    <col min="2844" max="2844" width="12.6640625" style="1" customWidth="1"/>
    <col min="2845" max="2845" width="9.33203125" style="1"/>
    <col min="2846" max="2846" width="13.44140625" style="1" customWidth="1"/>
    <col min="2847" max="3063" width="9.33203125" style="1"/>
    <col min="3064" max="3064" width="11" style="1" customWidth="1"/>
    <col min="3065" max="3065" width="0" style="1" hidden="1" customWidth="1"/>
    <col min="3066" max="3066" width="23" style="1" bestFit="1" customWidth="1"/>
    <col min="3067" max="3067" width="33.44140625" style="1" customWidth="1"/>
    <col min="3068" max="3071" width="0" style="1" hidden="1" customWidth="1"/>
    <col min="3072" max="3072" width="14.44140625" style="1" customWidth="1"/>
    <col min="3073" max="3073" width="24.5546875" style="1" customWidth="1"/>
    <col min="3074" max="3074" width="20.88671875" style="1" customWidth="1"/>
    <col min="3075" max="3075" width="12.6640625" style="1" customWidth="1"/>
    <col min="3076" max="3076" width="11.33203125" style="1" customWidth="1"/>
    <col min="3077" max="3077" width="10.5546875" style="1" customWidth="1"/>
    <col min="3078" max="3079" width="9" style="1" customWidth="1"/>
    <col min="3080" max="3080" width="13.109375" style="1" customWidth="1"/>
    <col min="3081" max="3082" width="10.5546875" style="1" customWidth="1"/>
    <col min="3083" max="3083" width="9" style="1" customWidth="1"/>
    <col min="3084" max="3084" width="10.6640625" style="1" customWidth="1"/>
    <col min="3085" max="3086" width="0" style="1" hidden="1" customWidth="1"/>
    <col min="3087" max="3087" width="13.109375" style="1" customWidth="1"/>
    <col min="3088" max="3088" width="10.5546875" style="1" customWidth="1"/>
    <col min="3089" max="3089" width="11" style="1" customWidth="1"/>
    <col min="3090" max="3090" width="10.88671875" style="1" customWidth="1"/>
    <col min="3091" max="3091" width="7.5546875" style="1" customWidth="1"/>
    <col min="3092" max="3092" width="0" style="1" hidden="1" customWidth="1"/>
    <col min="3093" max="3093" width="9.44140625" style="1" customWidth="1"/>
    <col min="3094" max="3094" width="17" style="1" customWidth="1"/>
    <col min="3095" max="3095" width="11.33203125" style="1" customWidth="1"/>
    <col min="3096" max="3096" width="11" style="1" customWidth="1"/>
    <col min="3097" max="3097" width="9.44140625" style="1" customWidth="1"/>
    <col min="3098" max="3098" width="14.6640625" style="1" bestFit="1" customWidth="1"/>
    <col min="3099" max="3099" width="16.33203125" style="1" customWidth="1"/>
    <col min="3100" max="3100" width="12.6640625" style="1" customWidth="1"/>
    <col min="3101" max="3101" width="9.33203125" style="1"/>
    <col min="3102" max="3102" width="13.44140625" style="1" customWidth="1"/>
    <col min="3103" max="3319" width="9.33203125" style="1"/>
    <col min="3320" max="3320" width="11" style="1" customWidth="1"/>
    <col min="3321" max="3321" width="0" style="1" hidden="1" customWidth="1"/>
    <col min="3322" max="3322" width="23" style="1" bestFit="1" customWidth="1"/>
    <col min="3323" max="3323" width="33.44140625" style="1" customWidth="1"/>
    <col min="3324" max="3327" width="0" style="1" hidden="1" customWidth="1"/>
    <col min="3328" max="3328" width="14.44140625" style="1" customWidth="1"/>
    <col min="3329" max="3329" width="24.5546875" style="1" customWidth="1"/>
    <col min="3330" max="3330" width="20.88671875" style="1" customWidth="1"/>
    <col min="3331" max="3331" width="12.6640625" style="1" customWidth="1"/>
    <col min="3332" max="3332" width="11.33203125" style="1" customWidth="1"/>
    <col min="3333" max="3333" width="10.5546875" style="1" customWidth="1"/>
    <col min="3334" max="3335" width="9" style="1" customWidth="1"/>
    <col min="3336" max="3336" width="13.109375" style="1" customWidth="1"/>
    <col min="3337" max="3338" width="10.5546875" style="1" customWidth="1"/>
    <col min="3339" max="3339" width="9" style="1" customWidth="1"/>
    <col min="3340" max="3340" width="10.6640625" style="1" customWidth="1"/>
    <col min="3341" max="3342" width="0" style="1" hidden="1" customWidth="1"/>
    <col min="3343" max="3343" width="13.109375" style="1" customWidth="1"/>
    <col min="3344" max="3344" width="10.5546875" style="1" customWidth="1"/>
    <col min="3345" max="3345" width="11" style="1" customWidth="1"/>
    <col min="3346" max="3346" width="10.88671875" style="1" customWidth="1"/>
    <col min="3347" max="3347" width="7.5546875" style="1" customWidth="1"/>
    <col min="3348" max="3348" width="0" style="1" hidden="1" customWidth="1"/>
    <col min="3349" max="3349" width="9.44140625" style="1" customWidth="1"/>
    <col min="3350" max="3350" width="17" style="1" customWidth="1"/>
    <col min="3351" max="3351" width="11.33203125" style="1" customWidth="1"/>
    <col min="3352" max="3352" width="11" style="1" customWidth="1"/>
    <col min="3353" max="3353" width="9.44140625" style="1" customWidth="1"/>
    <col min="3354" max="3354" width="14.6640625" style="1" bestFit="1" customWidth="1"/>
    <col min="3355" max="3355" width="16.33203125" style="1" customWidth="1"/>
    <col min="3356" max="3356" width="12.6640625" style="1" customWidth="1"/>
    <col min="3357" max="3357" width="9.33203125" style="1"/>
    <col min="3358" max="3358" width="13.44140625" style="1" customWidth="1"/>
    <col min="3359" max="3575" width="9.33203125" style="1"/>
    <col min="3576" max="3576" width="11" style="1" customWidth="1"/>
    <col min="3577" max="3577" width="0" style="1" hidden="1" customWidth="1"/>
    <col min="3578" max="3578" width="23" style="1" bestFit="1" customWidth="1"/>
    <col min="3579" max="3579" width="33.44140625" style="1" customWidth="1"/>
    <col min="3580" max="3583" width="0" style="1" hidden="1" customWidth="1"/>
    <col min="3584" max="3584" width="14.44140625" style="1" customWidth="1"/>
    <col min="3585" max="3585" width="24.5546875" style="1" customWidth="1"/>
    <col min="3586" max="3586" width="20.88671875" style="1" customWidth="1"/>
    <col min="3587" max="3587" width="12.6640625" style="1" customWidth="1"/>
    <col min="3588" max="3588" width="11.33203125" style="1" customWidth="1"/>
    <col min="3589" max="3589" width="10.5546875" style="1" customWidth="1"/>
    <col min="3590" max="3591" width="9" style="1" customWidth="1"/>
    <col min="3592" max="3592" width="13.109375" style="1" customWidth="1"/>
    <col min="3593" max="3594" width="10.5546875" style="1" customWidth="1"/>
    <col min="3595" max="3595" width="9" style="1" customWidth="1"/>
    <col min="3596" max="3596" width="10.6640625" style="1" customWidth="1"/>
    <col min="3597" max="3598" width="0" style="1" hidden="1" customWidth="1"/>
    <col min="3599" max="3599" width="13.109375" style="1" customWidth="1"/>
    <col min="3600" max="3600" width="10.5546875" style="1" customWidth="1"/>
    <col min="3601" max="3601" width="11" style="1" customWidth="1"/>
    <col min="3602" max="3602" width="10.88671875" style="1" customWidth="1"/>
    <col min="3603" max="3603" width="7.5546875" style="1" customWidth="1"/>
    <col min="3604" max="3604" width="0" style="1" hidden="1" customWidth="1"/>
    <col min="3605" max="3605" width="9.44140625" style="1" customWidth="1"/>
    <col min="3606" max="3606" width="17" style="1" customWidth="1"/>
    <col min="3607" max="3607" width="11.33203125" style="1" customWidth="1"/>
    <col min="3608" max="3608" width="11" style="1" customWidth="1"/>
    <col min="3609" max="3609" width="9.44140625" style="1" customWidth="1"/>
    <col min="3610" max="3610" width="14.6640625" style="1" bestFit="1" customWidth="1"/>
    <col min="3611" max="3611" width="16.33203125" style="1" customWidth="1"/>
    <col min="3612" max="3612" width="12.6640625" style="1" customWidth="1"/>
    <col min="3613" max="3613" width="9.33203125" style="1"/>
    <col min="3614" max="3614" width="13.44140625" style="1" customWidth="1"/>
    <col min="3615" max="3831" width="9.33203125" style="1"/>
    <col min="3832" max="3832" width="11" style="1" customWidth="1"/>
    <col min="3833" max="3833" width="0" style="1" hidden="1" customWidth="1"/>
    <col min="3834" max="3834" width="23" style="1" bestFit="1" customWidth="1"/>
    <col min="3835" max="3835" width="33.44140625" style="1" customWidth="1"/>
    <col min="3836" max="3839" width="0" style="1" hidden="1" customWidth="1"/>
    <col min="3840" max="3840" width="14.44140625" style="1" customWidth="1"/>
    <col min="3841" max="3841" width="24.5546875" style="1" customWidth="1"/>
    <col min="3842" max="3842" width="20.88671875" style="1" customWidth="1"/>
    <col min="3843" max="3843" width="12.6640625" style="1" customWidth="1"/>
    <col min="3844" max="3844" width="11.33203125" style="1" customWidth="1"/>
    <col min="3845" max="3845" width="10.5546875" style="1" customWidth="1"/>
    <col min="3846" max="3847" width="9" style="1" customWidth="1"/>
    <col min="3848" max="3848" width="13.109375" style="1" customWidth="1"/>
    <col min="3849" max="3850" width="10.5546875" style="1" customWidth="1"/>
    <col min="3851" max="3851" width="9" style="1" customWidth="1"/>
    <col min="3852" max="3852" width="10.6640625" style="1" customWidth="1"/>
    <col min="3853" max="3854" width="0" style="1" hidden="1" customWidth="1"/>
    <col min="3855" max="3855" width="13.109375" style="1" customWidth="1"/>
    <col min="3856" max="3856" width="10.5546875" style="1" customWidth="1"/>
    <col min="3857" max="3857" width="11" style="1" customWidth="1"/>
    <col min="3858" max="3858" width="10.88671875" style="1" customWidth="1"/>
    <col min="3859" max="3859" width="7.5546875" style="1" customWidth="1"/>
    <col min="3860" max="3860" width="0" style="1" hidden="1" customWidth="1"/>
    <col min="3861" max="3861" width="9.44140625" style="1" customWidth="1"/>
    <col min="3862" max="3862" width="17" style="1" customWidth="1"/>
    <col min="3863" max="3863" width="11.33203125" style="1" customWidth="1"/>
    <col min="3864" max="3864" width="11" style="1" customWidth="1"/>
    <col min="3865" max="3865" width="9.44140625" style="1" customWidth="1"/>
    <col min="3866" max="3866" width="14.6640625" style="1" bestFit="1" customWidth="1"/>
    <col min="3867" max="3867" width="16.33203125" style="1" customWidth="1"/>
    <col min="3868" max="3868" width="12.6640625" style="1" customWidth="1"/>
    <col min="3869" max="3869" width="9.33203125" style="1"/>
    <col min="3870" max="3870" width="13.44140625" style="1" customWidth="1"/>
    <col min="3871" max="4087" width="9.33203125" style="1"/>
    <col min="4088" max="4088" width="11" style="1" customWidth="1"/>
    <col min="4089" max="4089" width="0" style="1" hidden="1" customWidth="1"/>
    <col min="4090" max="4090" width="23" style="1" bestFit="1" customWidth="1"/>
    <col min="4091" max="4091" width="33.44140625" style="1" customWidth="1"/>
    <col min="4092" max="4095" width="0" style="1" hidden="1" customWidth="1"/>
    <col min="4096" max="4096" width="14.44140625" style="1" customWidth="1"/>
    <col min="4097" max="4097" width="24.5546875" style="1" customWidth="1"/>
    <col min="4098" max="4098" width="20.88671875" style="1" customWidth="1"/>
    <col min="4099" max="4099" width="12.6640625" style="1" customWidth="1"/>
    <col min="4100" max="4100" width="11.33203125" style="1" customWidth="1"/>
    <col min="4101" max="4101" width="10.5546875" style="1" customWidth="1"/>
    <col min="4102" max="4103" width="9" style="1" customWidth="1"/>
    <col min="4104" max="4104" width="13.109375" style="1" customWidth="1"/>
    <col min="4105" max="4106" width="10.5546875" style="1" customWidth="1"/>
    <col min="4107" max="4107" width="9" style="1" customWidth="1"/>
    <col min="4108" max="4108" width="10.6640625" style="1" customWidth="1"/>
    <col min="4109" max="4110" width="0" style="1" hidden="1" customWidth="1"/>
    <col min="4111" max="4111" width="13.109375" style="1" customWidth="1"/>
    <col min="4112" max="4112" width="10.5546875" style="1" customWidth="1"/>
    <col min="4113" max="4113" width="11" style="1" customWidth="1"/>
    <col min="4114" max="4114" width="10.88671875" style="1" customWidth="1"/>
    <col min="4115" max="4115" width="7.5546875" style="1" customWidth="1"/>
    <col min="4116" max="4116" width="0" style="1" hidden="1" customWidth="1"/>
    <col min="4117" max="4117" width="9.44140625" style="1" customWidth="1"/>
    <col min="4118" max="4118" width="17" style="1" customWidth="1"/>
    <col min="4119" max="4119" width="11.33203125" style="1" customWidth="1"/>
    <col min="4120" max="4120" width="11" style="1" customWidth="1"/>
    <col min="4121" max="4121" width="9.44140625" style="1" customWidth="1"/>
    <col min="4122" max="4122" width="14.6640625" style="1" bestFit="1" customWidth="1"/>
    <col min="4123" max="4123" width="16.33203125" style="1" customWidth="1"/>
    <col min="4124" max="4124" width="12.6640625" style="1" customWidth="1"/>
    <col min="4125" max="4125" width="9.33203125" style="1"/>
    <col min="4126" max="4126" width="13.44140625" style="1" customWidth="1"/>
    <col min="4127" max="4343" width="9.33203125" style="1"/>
    <col min="4344" max="4344" width="11" style="1" customWidth="1"/>
    <col min="4345" max="4345" width="0" style="1" hidden="1" customWidth="1"/>
    <col min="4346" max="4346" width="23" style="1" bestFit="1" customWidth="1"/>
    <col min="4347" max="4347" width="33.44140625" style="1" customWidth="1"/>
    <col min="4348" max="4351" width="0" style="1" hidden="1" customWidth="1"/>
    <col min="4352" max="4352" width="14.44140625" style="1" customWidth="1"/>
    <col min="4353" max="4353" width="24.5546875" style="1" customWidth="1"/>
    <col min="4354" max="4354" width="20.88671875" style="1" customWidth="1"/>
    <col min="4355" max="4355" width="12.6640625" style="1" customWidth="1"/>
    <col min="4356" max="4356" width="11.33203125" style="1" customWidth="1"/>
    <col min="4357" max="4357" width="10.5546875" style="1" customWidth="1"/>
    <col min="4358" max="4359" width="9" style="1" customWidth="1"/>
    <col min="4360" max="4360" width="13.109375" style="1" customWidth="1"/>
    <col min="4361" max="4362" width="10.5546875" style="1" customWidth="1"/>
    <col min="4363" max="4363" width="9" style="1" customWidth="1"/>
    <col min="4364" max="4364" width="10.6640625" style="1" customWidth="1"/>
    <col min="4365" max="4366" width="0" style="1" hidden="1" customWidth="1"/>
    <col min="4367" max="4367" width="13.109375" style="1" customWidth="1"/>
    <col min="4368" max="4368" width="10.5546875" style="1" customWidth="1"/>
    <col min="4369" max="4369" width="11" style="1" customWidth="1"/>
    <col min="4370" max="4370" width="10.88671875" style="1" customWidth="1"/>
    <col min="4371" max="4371" width="7.5546875" style="1" customWidth="1"/>
    <col min="4372" max="4372" width="0" style="1" hidden="1" customWidth="1"/>
    <col min="4373" max="4373" width="9.44140625" style="1" customWidth="1"/>
    <col min="4374" max="4374" width="17" style="1" customWidth="1"/>
    <col min="4375" max="4375" width="11.33203125" style="1" customWidth="1"/>
    <col min="4376" max="4376" width="11" style="1" customWidth="1"/>
    <col min="4377" max="4377" width="9.44140625" style="1" customWidth="1"/>
    <col min="4378" max="4378" width="14.6640625" style="1" bestFit="1" customWidth="1"/>
    <col min="4379" max="4379" width="16.33203125" style="1" customWidth="1"/>
    <col min="4380" max="4380" width="12.6640625" style="1" customWidth="1"/>
    <col min="4381" max="4381" width="9.33203125" style="1"/>
    <col min="4382" max="4382" width="13.44140625" style="1" customWidth="1"/>
    <col min="4383" max="4599" width="9.33203125" style="1"/>
    <col min="4600" max="4600" width="11" style="1" customWidth="1"/>
    <col min="4601" max="4601" width="0" style="1" hidden="1" customWidth="1"/>
    <col min="4602" max="4602" width="23" style="1" bestFit="1" customWidth="1"/>
    <col min="4603" max="4603" width="33.44140625" style="1" customWidth="1"/>
    <col min="4604" max="4607" width="0" style="1" hidden="1" customWidth="1"/>
    <col min="4608" max="4608" width="14.44140625" style="1" customWidth="1"/>
    <col min="4609" max="4609" width="24.5546875" style="1" customWidth="1"/>
    <col min="4610" max="4610" width="20.88671875" style="1" customWidth="1"/>
    <col min="4611" max="4611" width="12.6640625" style="1" customWidth="1"/>
    <col min="4612" max="4612" width="11.33203125" style="1" customWidth="1"/>
    <col min="4613" max="4613" width="10.5546875" style="1" customWidth="1"/>
    <col min="4614" max="4615" width="9" style="1" customWidth="1"/>
    <col min="4616" max="4616" width="13.109375" style="1" customWidth="1"/>
    <col min="4617" max="4618" width="10.5546875" style="1" customWidth="1"/>
    <col min="4619" max="4619" width="9" style="1" customWidth="1"/>
    <col min="4620" max="4620" width="10.6640625" style="1" customWidth="1"/>
    <col min="4621" max="4622" width="0" style="1" hidden="1" customWidth="1"/>
    <col min="4623" max="4623" width="13.109375" style="1" customWidth="1"/>
    <col min="4624" max="4624" width="10.5546875" style="1" customWidth="1"/>
    <col min="4625" max="4625" width="11" style="1" customWidth="1"/>
    <col min="4626" max="4626" width="10.88671875" style="1" customWidth="1"/>
    <col min="4627" max="4627" width="7.5546875" style="1" customWidth="1"/>
    <col min="4628" max="4628" width="0" style="1" hidden="1" customWidth="1"/>
    <col min="4629" max="4629" width="9.44140625" style="1" customWidth="1"/>
    <col min="4630" max="4630" width="17" style="1" customWidth="1"/>
    <col min="4631" max="4631" width="11.33203125" style="1" customWidth="1"/>
    <col min="4632" max="4632" width="11" style="1" customWidth="1"/>
    <col min="4633" max="4633" width="9.44140625" style="1" customWidth="1"/>
    <col min="4634" max="4634" width="14.6640625" style="1" bestFit="1" customWidth="1"/>
    <col min="4635" max="4635" width="16.33203125" style="1" customWidth="1"/>
    <col min="4636" max="4636" width="12.6640625" style="1" customWidth="1"/>
    <col min="4637" max="4637" width="9.33203125" style="1"/>
    <col min="4638" max="4638" width="13.44140625" style="1" customWidth="1"/>
    <col min="4639" max="4855" width="9.33203125" style="1"/>
    <col min="4856" max="4856" width="11" style="1" customWidth="1"/>
    <col min="4857" max="4857" width="0" style="1" hidden="1" customWidth="1"/>
    <col min="4858" max="4858" width="23" style="1" bestFit="1" customWidth="1"/>
    <col min="4859" max="4859" width="33.44140625" style="1" customWidth="1"/>
    <col min="4860" max="4863" width="0" style="1" hidden="1" customWidth="1"/>
    <col min="4864" max="4864" width="14.44140625" style="1" customWidth="1"/>
    <col min="4865" max="4865" width="24.5546875" style="1" customWidth="1"/>
    <col min="4866" max="4866" width="20.88671875" style="1" customWidth="1"/>
    <col min="4867" max="4867" width="12.6640625" style="1" customWidth="1"/>
    <col min="4868" max="4868" width="11.33203125" style="1" customWidth="1"/>
    <col min="4869" max="4869" width="10.5546875" style="1" customWidth="1"/>
    <col min="4870" max="4871" width="9" style="1" customWidth="1"/>
    <col min="4872" max="4872" width="13.109375" style="1" customWidth="1"/>
    <col min="4873" max="4874" width="10.5546875" style="1" customWidth="1"/>
    <col min="4875" max="4875" width="9" style="1" customWidth="1"/>
    <col min="4876" max="4876" width="10.6640625" style="1" customWidth="1"/>
    <col min="4877" max="4878" width="0" style="1" hidden="1" customWidth="1"/>
    <col min="4879" max="4879" width="13.109375" style="1" customWidth="1"/>
    <col min="4880" max="4880" width="10.5546875" style="1" customWidth="1"/>
    <col min="4881" max="4881" width="11" style="1" customWidth="1"/>
    <col min="4882" max="4882" width="10.88671875" style="1" customWidth="1"/>
    <col min="4883" max="4883" width="7.5546875" style="1" customWidth="1"/>
    <col min="4884" max="4884" width="0" style="1" hidden="1" customWidth="1"/>
    <col min="4885" max="4885" width="9.44140625" style="1" customWidth="1"/>
    <col min="4886" max="4886" width="17" style="1" customWidth="1"/>
    <col min="4887" max="4887" width="11.33203125" style="1" customWidth="1"/>
    <col min="4888" max="4888" width="11" style="1" customWidth="1"/>
    <col min="4889" max="4889" width="9.44140625" style="1" customWidth="1"/>
    <col min="4890" max="4890" width="14.6640625" style="1" bestFit="1" customWidth="1"/>
    <col min="4891" max="4891" width="16.33203125" style="1" customWidth="1"/>
    <col min="4892" max="4892" width="12.6640625" style="1" customWidth="1"/>
    <col min="4893" max="4893" width="9.33203125" style="1"/>
    <col min="4894" max="4894" width="13.44140625" style="1" customWidth="1"/>
    <col min="4895" max="5111" width="9.33203125" style="1"/>
    <col min="5112" max="5112" width="11" style="1" customWidth="1"/>
    <col min="5113" max="5113" width="0" style="1" hidden="1" customWidth="1"/>
    <col min="5114" max="5114" width="23" style="1" bestFit="1" customWidth="1"/>
    <col min="5115" max="5115" width="33.44140625" style="1" customWidth="1"/>
    <col min="5116" max="5119" width="0" style="1" hidden="1" customWidth="1"/>
    <col min="5120" max="5120" width="14.44140625" style="1" customWidth="1"/>
    <col min="5121" max="5121" width="24.5546875" style="1" customWidth="1"/>
    <col min="5122" max="5122" width="20.88671875" style="1" customWidth="1"/>
    <col min="5123" max="5123" width="12.6640625" style="1" customWidth="1"/>
    <col min="5124" max="5124" width="11.33203125" style="1" customWidth="1"/>
    <col min="5125" max="5125" width="10.5546875" style="1" customWidth="1"/>
    <col min="5126" max="5127" width="9" style="1" customWidth="1"/>
    <col min="5128" max="5128" width="13.109375" style="1" customWidth="1"/>
    <col min="5129" max="5130" width="10.5546875" style="1" customWidth="1"/>
    <col min="5131" max="5131" width="9" style="1" customWidth="1"/>
    <col min="5132" max="5132" width="10.6640625" style="1" customWidth="1"/>
    <col min="5133" max="5134" width="0" style="1" hidden="1" customWidth="1"/>
    <col min="5135" max="5135" width="13.109375" style="1" customWidth="1"/>
    <col min="5136" max="5136" width="10.5546875" style="1" customWidth="1"/>
    <col min="5137" max="5137" width="11" style="1" customWidth="1"/>
    <col min="5138" max="5138" width="10.88671875" style="1" customWidth="1"/>
    <col min="5139" max="5139" width="7.5546875" style="1" customWidth="1"/>
    <col min="5140" max="5140" width="0" style="1" hidden="1" customWidth="1"/>
    <col min="5141" max="5141" width="9.44140625" style="1" customWidth="1"/>
    <col min="5142" max="5142" width="17" style="1" customWidth="1"/>
    <col min="5143" max="5143" width="11.33203125" style="1" customWidth="1"/>
    <col min="5144" max="5144" width="11" style="1" customWidth="1"/>
    <col min="5145" max="5145" width="9.44140625" style="1" customWidth="1"/>
    <col min="5146" max="5146" width="14.6640625" style="1" bestFit="1" customWidth="1"/>
    <col min="5147" max="5147" width="16.33203125" style="1" customWidth="1"/>
    <col min="5148" max="5148" width="12.6640625" style="1" customWidth="1"/>
    <col min="5149" max="5149" width="9.33203125" style="1"/>
    <col min="5150" max="5150" width="13.44140625" style="1" customWidth="1"/>
    <col min="5151" max="5367" width="9.33203125" style="1"/>
    <col min="5368" max="5368" width="11" style="1" customWidth="1"/>
    <col min="5369" max="5369" width="0" style="1" hidden="1" customWidth="1"/>
    <col min="5370" max="5370" width="23" style="1" bestFit="1" customWidth="1"/>
    <col min="5371" max="5371" width="33.44140625" style="1" customWidth="1"/>
    <col min="5372" max="5375" width="0" style="1" hidden="1" customWidth="1"/>
    <col min="5376" max="5376" width="14.44140625" style="1" customWidth="1"/>
    <col min="5377" max="5377" width="24.5546875" style="1" customWidth="1"/>
    <col min="5378" max="5378" width="20.88671875" style="1" customWidth="1"/>
    <col min="5379" max="5379" width="12.6640625" style="1" customWidth="1"/>
    <col min="5380" max="5380" width="11.33203125" style="1" customWidth="1"/>
    <col min="5381" max="5381" width="10.5546875" style="1" customWidth="1"/>
    <col min="5382" max="5383" width="9" style="1" customWidth="1"/>
    <col min="5384" max="5384" width="13.109375" style="1" customWidth="1"/>
    <col min="5385" max="5386" width="10.5546875" style="1" customWidth="1"/>
    <col min="5387" max="5387" width="9" style="1" customWidth="1"/>
    <col min="5388" max="5388" width="10.6640625" style="1" customWidth="1"/>
    <col min="5389" max="5390" width="0" style="1" hidden="1" customWidth="1"/>
    <col min="5391" max="5391" width="13.109375" style="1" customWidth="1"/>
    <col min="5392" max="5392" width="10.5546875" style="1" customWidth="1"/>
    <col min="5393" max="5393" width="11" style="1" customWidth="1"/>
    <col min="5394" max="5394" width="10.88671875" style="1" customWidth="1"/>
    <col min="5395" max="5395" width="7.5546875" style="1" customWidth="1"/>
    <col min="5396" max="5396" width="0" style="1" hidden="1" customWidth="1"/>
    <col min="5397" max="5397" width="9.44140625" style="1" customWidth="1"/>
    <col min="5398" max="5398" width="17" style="1" customWidth="1"/>
    <col min="5399" max="5399" width="11.33203125" style="1" customWidth="1"/>
    <col min="5400" max="5400" width="11" style="1" customWidth="1"/>
    <col min="5401" max="5401" width="9.44140625" style="1" customWidth="1"/>
    <col min="5402" max="5402" width="14.6640625" style="1" bestFit="1" customWidth="1"/>
    <col min="5403" max="5403" width="16.33203125" style="1" customWidth="1"/>
    <col min="5404" max="5404" width="12.6640625" style="1" customWidth="1"/>
    <col min="5405" max="5405" width="9.33203125" style="1"/>
    <col min="5406" max="5406" width="13.44140625" style="1" customWidth="1"/>
    <col min="5407" max="5623" width="9.33203125" style="1"/>
    <col min="5624" max="5624" width="11" style="1" customWidth="1"/>
    <col min="5625" max="5625" width="0" style="1" hidden="1" customWidth="1"/>
    <col min="5626" max="5626" width="23" style="1" bestFit="1" customWidth="1"/>
    <col min="5627" max="5627" width="33.44140625" style="1" customWidth="1"/>
    <col min="5628" max="5631" width="0" style="1" hidden="1" customWidth="1"/>
    <col min="5632" max="5632" width="14.44140625" style="1" customWidth="1"/>
    <col min="5633" max="5633" width="24.5546875" style="1" customWidth="1"/>
    <col min="5634" max="5634" width="20.88671875" style="1" customWidth="1"/>
    <col min="5635" max="5635" width="12.6640625" style="1" customWidth="1"/>
    <col min="5636" max="5636" width="11.33203125" style="1" customWidth="1"/>
    <col min="5637" max="5637" width="10.5546875" style="1" customWidth="1"/>
    <col min="5638" max="5639" width="9" style="1" customWidth="1"/>
    <col min="5640" max="5640" width="13.109375" style="1" customWidth="1"/>
    <col min="5641" max="5642" width="10.5546875" style="1" customWidth="1"/>
    <col min="5643" max="5643" width="9" style="1" customWidth="1"/>
    <col min="5644" max="5644" width="10.6640625" style="1" customWidth="1"/>
    <col min="5645" max="5646" width="0" style="1" hidden="1" customWidth="1"/>
    <col min="5647" max="5647" width="13.109375" style="1" customWidth="1"/>
    <col min="5648" max="5648" width="10.5546875" style="1" customWidth="1"/>
    <col min="5649" max="5649" width="11" style="1" customWidth="1"/>
    <col min="5650" max="5650" width="10.88671875" style="1" customWidth="1"/>
    <col min="5651" max="5651" width="7.5546875" style="1" customWidth="1"/>
    <col min="5652" max="5652" width="0" style="1" hidden="1" customWidth="1"/>
    <col min="5653" max="5653" width="9.44140625" style="1" customWidth="1"/>
    <col min="5654" max="5654" width="17" style="1" customWidth="1"/>
    <col min="5655" max="5655" width="11.33203125" style="1" customWidth="1"/>
    <col min="5656" max="5656" width="11" style="1" customWidth="1"/>
    <col min="5657" max="5657" width="9.44140625" style="1" customWidth="1"/>
    <col min="5658" max="5658" width="14.6640625" style="1" bestFit="1" customWidth="1"/>
    <col min="5659" max="5659" width="16.33203125" style="1" customWidth="1"/>
    <col min="5660" max="5660" width="12.6640625" style="1" customWidth="1"/>
    <col min="5661" max="5661" width="9.33203125" style="1"/>
    <col min="5662" max="5662" width="13.44140625" style="1" customWidth="1"/>
    <col min="5663" max="5879" width="9.33203125" style="1"/>
    <col min="5880" max="5880" width="11" style="1" customWidth="1"/>
    <col min="5881" max="5881" width="0" style="1" hidden="1" customWidth="1"/>
    <col min="5882" max="5882" width="23" style="1" bestFit="1" customWidth="1"/>
    <col min="5883" max="5883" width="33.44140625" style="1" customWidth="1"/>
    <col min="5884" max="5887" width="0" style="1" hidden="1" customWidth="1"/>
    <col min="5888" max="5888" width="14.44140625" style="1" customWidth="1"/>
    <col min="5889" max="5889" width="24.5546875" style="1" customWidth="1"/>
    <col min="5890" max="5890" width="20.88671875" style="1" customWidth="1"/>
    <col min="5891" max="5891" width="12.6640625" style="1" customWidth="1"/>
    <col min="5892" max="5892" width="11.33203125" style="1" customWidth="1"/>
    <col min="5893" max="5893" width="10.5546875" style="1" customWidth="1"/>
    <col min="5894" max="5895" width="9" style="1" customWidth="1"/>
    <col min="5896" max="5896" width="13.109375" style="1" customWidth="1"/>
    <col min="5897" max="5898" width="10.5546875" style="1" customWidth="1"/>
    <col min="5899" max="5899" width="9" style="1" customWidth="1"/>
    <col min="5900" max="5900" width="10.6640625" style="1" customWidth="1"/>
    <col min="5901" max="5902" width="0" style="1" hidden="1" customWidth="1"/>
    <col min="5903" max="5903" width="13.109375" style="1" customWidth="1"/>
    <col min="5904" max="5904" width="10.5546875" style="1" customWidth="1"/>
    <col min="5905" max="5905" width="11" style="1" customWidth="1"/>
    <col min="5906" max="5906" width="10.88671875" style="1" customWidth="1"/>
    <col min="5907" max="5907" width="7.5546875" style="1" customWidth="1"/>
    <col min="5908" max="5908" width="0" style="1" hidden="1" customWidth="1"/>
    <col min="5909" max="5909" width="9.44140625" style="1" customWidth="1"/>
    <col min="5910" max="5910" width="17" style="1" customWidth="1"/>
    <col min="5911" max="5911" width="11.33203125" style="1" customWidth="1"/>
    <col min="5912" max="5912" width="11" style="1" customWidth="1"/>
    <col min="5913" max="5913" width="9.44140625" style="1" customWidth="1"/>
    <col min="5914" max="5914" width="14.6640625" style="1" bestFit="1" customWidth="1"/>
    <col min="5915" max="5915" width="16.33203125" style="1" customWidth="1"/>
    <col min="5916" max="5916" width="12.6640625" style="1" customWidth="1"/>
    <col min="5917" max="5917" width="9.33203125" style="1"/>
    <col min="5918" max="5918" width="13.44140625" style="1" customWidth="1"/>
    <col min="5919" max="6135" width="9.33203125" style="1"/>
    <col min="6136" max="6136" width="11" style="1" customWidth="1"/>
    <col min="6137" max="6137" width="0" style="1" hidden="1" customWidth="1"/>
    <col min="6138" max="6138" width="23" style="1" bestFit="1" customWidth="1"/>
    <col min="6139" max="6139" width="33.44140625" style="1" customWidth="1"/>
    <col min="6140" max="6143" width="0" style="1" hidden="1" customWidth="1"/>
    <col min="6144" max="6144" width="14.44140625" style="1" customWidth="1"/>
    <col min="6145" max="6145" width="24.5546875" style="1" customWidth="1"/>
    <col min="6146" max="6146" width="20.88671875" style="1" customWidth="1"/>
    <col min="6147" max="6147" width="12.6640625" style="1" customWidth="1"/>
    <col min="6148" max="6148" width="11.33203125" style="1" customWidth="1"/>
    <col min="6149" max="6149" width="10.5546875" style="1" customWidth="1"/>
    <col min="6150" max="6151" width="9" style="1" customWidth="1"/>
    <col min="6152" max="6152" width="13.109375" style="1" customWidth="1"/>
    <col min="6153" max="6154" width="10.5546875" style="1" customWidth="1"/>
    <col min="6155" max="6155" width="9" style="1" customWidth="1"/>
    <col min="6156" max="6156" width="10.6640625" style="1" customWidth="1"/>
    <col min="6157" max="6158" width="0" style="1" hidden="1" customWidth="1"/>
    <col min="6159" max="6159" width="13.109375" style="1" customWidth="1"/>
    <col min="6160" max="6160" width="10.5546875" style="1" customWidth="1"/>
    <col min="6161" max="6161" width="11" style="1" customWidth="1"/>
    <col min="6162" max="6162" width="10.88671875" style="1" customWidth="1"/>
    <col min="6163" max="6163" width="7.5546875" style="1" customWidth="1"/>
    <col min="6164" max="6164" width="0" style="1" hidden="1" customWidth="1"/>
    <col min="6165" max="6165" width="9.44140625" style="1" customWidth="1"/>
    <col min="6166" max="6166" width="17" style="1" customWidth="1"/>
    <col min="6167" max="6167" width="11.33203125" style="1" customWidth="1"/>
    <col min="6168" max="6168" width="11" style="1" customWidth="1"/>
    <col min="6169" max="6169" width="9.44140625" style="1" customWidth="1"/>
    <col min="6170" max="6170" width="14.6640625" style="1" bestFit="1" customWidth="1"/>
    <col min="6171" max="6171" width="16.33203125" style="1" customWidth="1"/>
    <col min="6172" max="6172" width="12.6640625" style="1" customWidth="1"/>
    <col min="6173" max="6173" width="9.33203125" style="1"/>
    <col min="6174" max="6174" width="13.44140625" style="1" customWidth="1"/>
    <col min="6175" max="6391" width="9.33203125" style="1"/>
    <col min="6392" max="6392" width="11" style="1" customWidth="1"/>
    <col min="6393" max="6393" width="0" style="1" hidden="1" customWidth="1"/>
    <col min="6394" max="6394" width="23" style="1" bestFit="1" customWidth="1"/>
    <col min="6395" max="6395" width="33.44140625" style="1" customWidth="1"/>
    <col min="6396" max="6399" width="0" style="1" hidden="1" customWidth="1"/>
    <col min="6400" max="6400" width="14.44140625" style="1" customWidth="1"/>
    <col min="6401" max="6401" width="24.5546875" style="1" customWidth="1"/>
    <col min="6402" max="6402" width="20.88671875" style="1" customWidth="1"/>
    <col min="6403" max="6403" width="12.6640625" style="1" customWidth="1"/>
    <col min="6404" max="6404" width="11.33203125" style="1" customWidth="1"/>
    <col min="6405" max="6405" width="10.5546875" style="1" customWidth="1"/>
    <col min="6406" max="6407" width="9" style="1" customWidth="1"/>
    <col min="6408" max="6408" width="13.109375" style="1" customWidth="1"/>
    <col min="6409" max="6410" width="10.5546875" style="1" customWidth="1"/>
    <col min="6411" max="6411" width="9" style="1" customWidth="1"/>
    <col min="6412" max="6412" width="10.6640625" style="1" customWidth="1"/>
    <col min="6413" max="6414" width="0" style="1" hidden="1" customWidth="1"/>
    <col min="6415" max="6415" width="13.109375" style="1" customWidth="1"/>
    <col min="6416" max="6416" width="10.5546875" style="1" customWidth="1"/>
    <col min="6417" max="6417" width="11" style="1" customWidth="1"/>
    <col min="6418" max="6418" width="10.88671875" style="1" customWidth="1"/>
    <col min="6419" max="6419" width="7.5546875" style="1" customWidth="1"/>
    <col min="6420" max="6420" width="0" style="1" hidden="1" customWidth="1"/>
    <col min="6421" max="6421" width="9.44140625" style="1" customWidth="1"/>
    <col min="6422" max="6422" width="17" style="1" customWidth="1"/>
    <col min="6423" max="6423" width="11.33203125" style="1" customWidth="1"/>
    <col min="6424" max="6424" width="11" style="1" customWidth="1"/>
    <col min="6425" max="6425" width="9.44140625" style="1" customWidth="1"/>
    <col min="6426" max="6426" width="14.6640625" style="1" bestFit="1" customWidth="1"/>
    <col min="6427" max="6427" width="16.33203125" style="1" customWidth="1"/>
    <col min="6428" max="6428" width="12.6640625" style="1" customWidth="1"/>
    <col min="6429" max="6429" width="9.33203125" style="1"/>
    <col min="6430" max="6430" width="13.44140625" style="1" customWidth="1"/>
    <col min="6431" max="6647" width="9.33203125" style="1"/>
    <col min="6648" max="6648" width="11" style="1" customWidth="1"/>
    <col min="6649" max="6649" width="0" style="1" hidden="1" customWidth="1"/>
    <col min="6650" max="6650" width="23" style="1" bestFit="1" customWidth="1"/>
    <col min="6651" max="6651" width="33.44140625" style="1" customWidth="1"/>
    <col min="6652" max="6655" width="0" style="1" hidden="1" customWidth="1"/>
    <col min="6656" max="6656" width="14.44140625" style="1" customWidth="1"/>
    <col min="6657" max="6657" width="24.5546875" style="1" customWidth="1"/>
    <col min="6658" max="6658" width="20.88671875" style="1" customWidth="1"/>
    <col min="6659" max="6659" width="12.6640625" style="1" customWidth="1"/>
    <col min="6660" max="6660" width="11.33203125" style="1" customWidth="1"/>
    <col min="6661" max="6661" width="10.5546875" style="1" customWidth="1"/>
    <col min="6662" max="6663" width="9" style="1" customWidth="1"/>
    <col min="6664" max="6664" width="13.109375" style="1" customWidth="1"/>
    <col min="6665" max="6666" width="10.5546875" style="1" customWidth="1"/>
    <col min="6667" max="6667" width="9" style="1" customWidth="1"/>
    <col min="6668" max="6668" width="10.6640625" style="1" customWidth="1"/>
    <col min="6669" max="6670" width="0" style="1" hidden="1" customWidth="1"/>
    <col min="6671" max="6671" width="13.109375" style="1" customWidth="1"/>
    <col min="6672" max="6672" width="10.5546875" style="1" customWidth="1"/>
    <col min="6673" max="6673" width="11" style="1" customWidth="1"/>
    <col min="6674" max="6674" width="10.88671875" style="1" customWidth="1"/>
    <col min="6675" max="6675" width="7.5546875" style="1" customWidth="1"/>
    <col min="6676" max="6676" width="0" style="1" hidden="1" customWidth="1"/>
    <col min="6677" max="6677" width="9.44140625" style="1" customWidth="1"/>
    <col min="6678" max="6678" width="17" style="1" customWidth="1"/>
    <col min="6679" max="6679" width="11.33203125" style="1" customWidth="1"/>
    <col min="6680" max="6680" width="11" style="1" customWidth="1"/>
    <col min="6681" max="6681" width="9.44140625" style="1" customWidth="1"/>
    <col min="6682" max="6682" width="14.6640625" style="1" bestFit="1" customWidth="1"/>
    <col min="6683" max="6683" width="16.33203125" style="1" customWidth="1"/>
    <col min="6684" max="6684" width="12.6640625" style="1" customWidth="1"/>
    <col min="6685" max="6685" width="9.33203125" style="1"/>
    <col min="6686" max="6686" width="13.44140625" style="1" customWidth="1"/>
    <col min="6687" max="6903" width="9.33203125" style="1"/>
    <col min="6904" max="6904" width="11" style="1" customWidth="1"/>
    <col min="6905" max="6905" width="0" style="1" hidden="1" customWidth="1"/>
    <col min="6906" max="6906" width="23" style="1" bestFit="1" customWidth="1"/>
    <col min="6907" max="6907" width="33.44140625" style="1" customWidth="1"/>
    <col min="6908" max="6911" width="0" style="1" hidden="1" customWidth="1"/>
    <col min="6912" max="6912" width="14.44140625" style="1" customWidth="1"/>
    <col min="6913" max="6913" width="24.5546875" style="1" customWidth="1"/>
    <col min="6914" max="6914" width="20.88671875" style="1" customWidth="1"/>
    <col min="6915" max="6915" width="12.6640625" style="1" customWidth="1"/>
    <col min="6916" max="6916" width="11.33203125" style="1" customWidth="1"/>
    <col min="6917" max="6917" width="10.5546875" style="1" customWidth="1"/>
    <col min="6918" max="6919" width="9" style="1" customWidth="1"/>
    <col min="6920" max="6920" width="13.109375" style="1" customWidth="1"/>
    <col min="6921" max="6922" width="10.5546875" style="1" customWidth="1"/>
    <col min="6923" max="6923" width="9" style="1" customWidth="1"/>
    <col min="6924" max="6924" width="10.6640625" style="1" customWidth="1"/>
    <col min="6925" max="6926" width="0" style="1" hidden="1" customWidth="1"/>
    <col min="6927" max="6927" width="13.109375" style="1" customWidth="1"/>
    <col min="6928" max="6928" width="10.5546875" style="1" customWidth="1"/>
    <col min="6929" max="6929" width="11" style="1" customWidth="1"/>
    <col min="6930" max="6930" width="10.88671875" style="1" customWidth="1"/>
    <col min="6931" max="6931" width="7.5546875" style="1" customWidth="1"/>
    <col min="6932" max="6932" width="0" style="1" hidden="1" customWidth="1"/>
    <col min="6933" max="6933" width="9.44140625" style="1" customWidth="1"/>
    <col min="6934" max="6934" width="17" style="1" customWidth="1"/>
    <col min="6935" max="6935" width="11.33203125" style="1" customWidth="1"/>
    <col min="6936" max="6936" width="11" style="1" customWidth="1"/>
    <col min="6937" max="6937" width="9.44140625" style="1" customWidth="1"/>
    <col min="6938" max="6938" width="14.6640625" style="1" bestFit="1" customWidth="1"/>
    <col min="6939" max="6939" width="16.33203125" style="1" customWidth="1"/>
    <col min="6940" max="6940" width="12.6640625" style="1" customWidth="1"/>
    <col min="6941" max="6941" width="9.33203125" style="1"/>
    <col min="6942" max="6942" width="13.44140625" style="1" customWidth="1"/>
    <col min="6943" max="7159" width="9.33203125" style="1"/>
    <col min="7160" max="7160" width="11" style="1" customWidth="1"/>
    <col min="7161" max="7161" width="0" style="1" hidden="1" customWidth="1"/>
    <col min="7162" max="7162" width="23" style="1" bestFit="1" customWidth="1"/>
    <col min="7163" max="7163" width="33.44140625" style="1" customWidth="1"/>
    <col min="7164" max="7167" width="0" style="1" hidden="1" customWidth="1"/>
    <col min="7168" max="7168" width="14.44140625" style="1" customWidth="1"/>
    <col min="7169" max="7169" width="24.5546875" style="1" customWidth="1"/>
    <col min="7170" max="7170" width="20.88671875" style="1" customWidth="1"/>
    <col min="7171" max="7171" width="12.6640625" style="1" customWidth="1"/>
    <col min="7172" max="7172" width="11.33203125" style="1" customWidth="1"/>
    <col min="7173" max="7173" width="10.5546875" style="1" customWidth="1"/>
    <col min="7174" max="7175" width="9" style="1" customWidth="1"/>
    <col min="7176" max="7176" width="13.109375" style="1" customWidth="1"/>
    <col min="7177" max="7178" width="10.5546875" style="1" customWidth="1"/>
    <col min="7179" max="7179" width="9" style="1" customWidth="1"/>
    <col min="7180" max="7180" width="10.6640625" style="1" customWidth="1"/>
    <col min="7181" max="7182" width="0" style="1" hidden="1" customWidth="1"/>
    <col min="7183" max="7183" width="13.109375" style="1" customWidth="1"/>
    <col min="7184" max="7184" width="10.5546875" style="1" customWidth="1"/>
    <col min="7185" max="7185" width="11" style="1" customWidth="1"/>
    <col min="7186" max="7186" width="10.88671875" style="1" customWidth="1"/>
    <col min="7187" max="7187" width="7.5546875" style="1" customWidth="1"/>
    <col min="7188" max="7188" width="0" style="1" hidden="1" customWidth="1"/>
    <col min="7189" max="7189" width="9.44140625" style="1" customWidth="1"/>
    <col min="7190" max="7190" width="17" style="1" customWidth="1"/>
    <col min="7191" max="7191" width="11.33203125" style="1" customWidth="1"/>
    <col min="7192" max="7192" width="11" style="1" customWidth="1"/>
    <col min="7193" max="7193" width="9.44140625" style="1" customWidth="1"/>
    <col min="7194" max="7194" width="14.6640625" style="1" bestFit="1" customWidth="1"/>
    <col min="7195" max="7195" width="16.33203125" style="1" customWidth="1"/>
    <col min="7196" max="7196" width="12.6640625" style="1" customWidth="1"/>
    <col min="7197" max="7197" width="9.33203125" style="1"/>
    <col min="7198" max="7198" width="13.44140625" style="1" customWidth="1"/>
    <col min="7199" max="7415" width="9.33203125" style="1"/>
    <col min="7416" max="7416" width="11" style="1" customWidth="1"/>
    <col min="7417" max="7417" width="0" style="1" hidden="1" customWidth="1"/>
    <col min="7418" max="7418" width="23" style="1" bestFit="1" customWidth="1"/>
    <col min="7419" max="7419" width="33.44140625" style="1" customWidth="1"/>
    <col min="7420" max="7423" width="0" style="1" hidden="1" customWidth="1"/>
    <col min="7424" max="7424" width="14.44140625" style="1" customWidth="1"/>
    <col min="7425" max="7425" width="24.5546875" style="1" customWidth="1"/>
    <col min="7426" max="7426" width="20.88671875" style="1" customWidth="1"/>
    <col min="7427" max="7427" width="12.6640625" style="1" customWidth="1"/>
    <col min="7428" max="7428" width="11.33203125" style="1" customWidth="1"/>
    <col min="7429" max="7429" width="10.5546875" style="1" customWidth="1"/>
    <col min="7430" max="7431" width="9" style="1" customWidth="1"/>
    <col min="7432" max="7432" width="13.109375" style="1" customWidth="1"/>
    <col min="7433" max="7434" width="10.5546875" style="1" customWidth="1"/>
    <col min="7435" max="7435" width="9" style="1" customWidth="1"/>
    <col min="7436" max="7436" width="10.6640625" style="1" customWidth="1"/>
    <col min="7437" max="7438" width="0" style="1" hidden="1" customWidth="1"/>
    <col min="7439" max="7439" width="13.109375" style="1" customWidth="1"/>
    <col min="7440" max="7440" width="10.5546875" style="1" customWidth="1"/>
    <col min="7441" max="7441" width="11" style="1" customWidth="1"/>
    <col min="7442" max="7442" width="10.88671875" style="1" customWidth="1"/>
    <col min="7443" max="7443" width="7.5546875" style="1" customWidth="1"/>
    <col min="7444" max="7444" width="0" style="1" hidden="1" customWidth="1"/>
    <col min="7445" max="7445" width="9.44140625" style="1" customWidth="1"/>
    <col min="7446" max="7446" width="17" style="1" customWidth="1"/>
    <col min="7447" max="7447" width="11.33203125" style="1" customWidth="1"/>
    <col min="7448" max="7448" width="11" style="1" customWidth="1"/>
    <col min="7449" max="7449" width="9.44140625" style="1" customWidth="1"/>
    <col min="7450" max="7450" width="14.6640625" style="1" bestFit="1" customWidth="1"/>
    <col min="7451" max="7451" width="16.33203125" style="1" customWidth="1"/>
    <col min="7452" max="7452" width="12.6640625" style="1" customWidth="1"/>
    <col min="7453" max="7453" width="9.33203125" style="1"/>
    <col min="7454" max="7454" width="13.44140625" style="1" customWidth="1"/>
    <col min="7455" max="7671" width="9.33203125" style="1"/>
    <col min="7672" max="7672" width="11" style="1" customWidth="1"/>
    <col min="7673" max="7673" width="0" style="1" hidden="1" customWidth="1"/>
    <col min="7674" max="7674" width="23" style="1" bestFit="1" customWidth="1"/>
    <col min="7675" max="7675" width="33.44140625" style="1" customWidth="1"/>
    <col min="7676" max="7679" width="0" style="1" hidden="1" customWidth="1"/>
    <col min="7680" max="7680" width="14.44140625" style="1" customWidth="1"/>
    <col min="7681" max="7681" width="24.5546875" style="1" customWidth="1"/>
    <col min="7682" max="7682" width="20.88671875" style="1" customWidth="1"/>
    <col min="7683" max="7683" width="12.6640625" style="1" customWidth="1"/>
    <col min="7684" max="7684" width="11.33203125" style="1" customWidth="1"/>
    <col min="7685" max="7685" width="10.5546875" style="1" customWidth="1"/>
    <col min="7686" max="7687" width="9" style="1" customWidth="1"/>
    <col min="7688" max="7688" width="13.109375" style="1" customWidth="1"/>
    <col min="7689" max="7690" width="10.5546875" style="1" customWidth="1"/>
    <col min="7691" max="7691" width="9" style="1" customWidth="1"/>
    <col min="7692" max="7692" width="10.6640625" style="1" customWidth="1"/>
    <col min="7693" max="7694" width="0" style="1" hidden="1" customWidth="1"/>
    <col min="7695" max="7695" width="13.109375" style="1" customWidth="1"/>
    <col min="7696" max="7696" width="10.5546875" style="1" customWidth="1"/>
    <col min="7697" max="7697" width="11" style="1" customWidth="1"/>
    <col min="7698" max="7698" width="10.88671875" style="1" customWidth="1"/>
    <col min="7699" max="7699" width="7.5546875" style="1" customWidth="1"/>
    <col min="7700" max="7700" width="0" style="1" hidden="1" customWidth="1"/>
    <col min="7701" max="7701" width="9.44140625" style="1" customWidth="1"/>
    <col min="7702" max="7702" width="17" style="1" customWidth="1"/>
    <col min="7703" max="7703" width="11.33203125" style="1" customWidth="1"/>
    <col min="7704" max="7704" width="11" style="1" customWidth="1"/>
    <col min="7705" max="7705" width="9.44140625" style="1" customWidth="1"/>
    <col min="7706" max="7706" width="14.6640625" style="1" bestFit="1" customWidth="1"/>
    <col min="7707" max="7707" width="16.33203125" style="1" customWidth="1"/>
    <col min="7708" max="7708" width="12.6640625" style="1" customWidth="1"/>
    <col min="7709" max="7709" width="9.33203125" style="1"/>
    <col min="7710" max="7710" width="13.44140625" style="1" customWidth="1"/>
    <col min="7711" max="7927" width="9.33203125" style="1"/>
    <col min="7928" max="7928" width="11" style="1" customWidth="1"/>
    <col min="7929" max="7929" width="0" style="1" hidden="1" customWidth="1"/>
    <col min="7930" max="7930" width="23" style="1" bestFit="1" customWidth="1"/>
    <col min="7931" max="7931" width="33.44140625" style="1" customWidth="1"/>
    <col min="7932" max="7935" width="0" style="1" hidden="1" customWidth="1"/>
    <col min="7936" max="7936" width="14.44140625" style="1" customWidth="1"/>
    <col min="7937" max="7937" width="24.5546875" style="1" customWidth="1"/>
    <col min="7938" max="7938" width="20.88671875" style="1" customWidth="1"/>
    <col min="7939" max="7939" width="12.6640625" style="1" customWidth="1"/>
    <col min="7940" max="7940" width="11.33203125" style="1" customWidth="1"/>
    <col min="7941" max="7941" width="10.5546875" style="1" customWidth="1"/>
    <col min="7942" max="7943" width="9" style="1" customWidth="1"/>
    <col min="7944" max="7944" width="13.109375" style="1" customWidth="1"/>
    <col min="7945" max="7946" width="10.5546875" style="1" customWidth="1"/>
    <col min="7947" max="7947" width="9" style="1" customWidth="1"/>
    <col min="7948" max="7948" width="10.6640625" style="1" customWidth="1"/>
    <col min="7949" max="7950" width="0" style="1" hidden="1" customWidth="1"/>
    <col min="7951" max="7951" width="13.109375" style="1" customWidth="1"/>
    <col min="7952" max="7952" width="10.5546875" style="1" customWidth="1"/>
    <col min="7953" max="7953" width="11" style="1" customWidth="1"/>
    <col min="7954" max="7954" width="10.88671875" style="1" customWidth="1"/>
    <col min="7955" max="7955" width="7.5546875" style="1" customWidth="1"/>
    <col min="7956" max="7956" width="0" style="1" hidden="1" customWidth="1"/>
    <col min="7957" max="7957" width="9.44140625" style="1" customWidth="1"/>
    <col min="7958" max="7958" width="17" style="1" customWidth="1"/>
    <col min="7959" max="7959" width="11.33203125" style="1" customWidth="1"/>
    <col min="7960" max="7960" width="11" style="1" customWidth="1"/>
    <col min="7961" max="7961" width="9.44140625" style="1" customWidth="1"/>
    <col min="7962" max="7962" width="14.6640625" style="1" bestFit="1" customWidth="1"/>
    <col min="7963" max="7963" width="16.33203125" style="1" customWidth="1"/>
    <col min="7964" max="7964" width="12.6640625" style="1" customWidth="1"/>
    <col min="7965" max="7965" width="9.33203125" style="1"/>
    <col min="7966" max="7966" width="13.44140625" style="1" customWidth="1"/>
    <col min="7967" max="8183" width="9.33203125" style="1"/>
    <col min="8184" max="8184" width="11" style="1" customWidth="1"/>
    <col min="8185" max="8185" width="0" style="1" hidden="1" customWidth="1"/>
    <col min="8186" max="8186" width="23" style="1" bestFit="1" customWidth="1"/>
    <col min="8187" max="8187" width="33.44140625" style="1" customWidth="1"/>
    <col min="8188" max="8191" width="0" style="1" hidden="1" customWidth="1"/>
    <col min="8192" max="8192" width="14.44140625" style="1" customWidth="1"/>
    <col min="8193" max="8193" width="24.5546875" style="1" customWidth="1"/>
    <col min="8194" max="8194" width="20.88671875" style="1" customWidth="1"/>
    <col min="8195" max="8195" width="12.6640625" style="1" customWidth="1"/>
    <col min="8196" max="8196" width="11.33203125" style="1" customWidth="1"/>
    <col min="8197" max="8197" width="10.5546875" style="1" customWidth="1"/>
    <col min="8198" max="8199" width="9" style="1" customWidth="1"/>
    <col min="8200" max="8200" width="13.109375" style="1" customWidth="1"/>
    <col min="8201" max="8202" width="10.5546875" style="1" customWidth="1"/>
    <col min="8203" max="8203" width="9" style="1" customWidth="1"/>
    <col min="8204" max="8204" width="10.6640625" style="1" customWidth="1"/>
    <col min="8205" max="8206" width="0" style="1" hidden="1" customWidth="1"/>
    <col min="8207" max="8207" width="13.109375" style="1" customWidth="1"/>
    <col min="8208" max="8208" width="10.5546875" style="1" customWidth="1"/>
    <col min="8209" max="8209" width="11" style="1" customWidth="1"/>
    <col min="8210" max="8210" width="10.88671875" style="1" customWidth="1"/>
    <col min="8211" max="8211" width="7.5546875" style="1" customWidth="1"/>
    <col min="8212" max="8212" width="0" style="1" hidden="1" customWidth="1"/>
    <col min="8213" max="8213" width="9.44140625" style="1" customWidth="1"/>
    <col min="8214" max="8214" width="17" style="1" customWidth="1"/>
    <col min="8215" max="8215" width="11.33203125" style="1" customWidth="1"/>
    <col min="8216" max="8216" width="11" style="1" customWidth="1"/>
    <col min="8217" max="8217" width="9.44140625" style="1" customWidth="1"/>
    <col min="8218" max="8218" width="14.6640625" style="1" bestFit="1" customWidth="1"/>
    <col min="8219" max="8219" width="16.33203125" style="1" customWidth="1"/>
    <col min="8220" max="8220" width="12.6640625" style="1" customWidth="1"/>
    <col min="8221" max="8221" width="9.33203125" style="1"/>
    <col min="8222" max="8222" width="13.44140625" style="1" customWidth="1"/>
    <col min="8223" max="8439" width="9.33203125" style="1"/>
    <col min="8440" max="8440" width="11" style="1" customWidth="1"/>
    <col min="8441" max="8441" width="0" style="1" hidden="1" customWidth="1"/>
    <col min="8442" max="8442" width="23" style="1" bestFit="1" customWidth="1"/>
    <col min="8443" max="8443" width="33.44140625" style="1" customWidth="1"/>
    <col min="8444" max="8447" width="0" style="1" hidden="1" customWidth="1"/>
    <col min="8448" max="8448" width="14.44140625" style="1" customWidth="1"/>
    <col min="8449" max="8449" width="24.5546875" style="1" customWidth="1"/>
    <col min="8450" max="8450" width="20.88671875" style="1" customWidth="1"/>
    <col min="8451" max="8451" width="12.6640625" style="1" customWidth="1"/>
    <col min="8452" max="8452" width="11.33203125" style="1" customWidth="1"/>
    <col min="8453" max="8453" width="10.5546875" style="1" customWidth="1"/>
    <col min="8454" max="8455" width="9" style="1" customWidth="1"/>
    <col min="8456" max="8456" width="13.109375" style="1" customWidth="1"/>
    <col min="8457" max="8458" width="10.5546875" style="1" customWidth="1"/>
    <col min="8459" max="8459" width="9" style="1" customWidth="1"/>
    <col min="8460" max="8460" width="10.6640625" style="1" customWidth="1"/>
    <col min="8461" max="8462" width="0" style="1" hidden="1" customWidth="1"/>
    <col min="8463" max="8463" width="13.109375" style="1" customWidth="1"/>
    <col min="8464" max="8464" width="10.5546875" style="1" customWidth="1"/>
    <col min="8465" max="8465" width="11" style="1" customWidth="1"/>
    <col min="8466" max="8466" width="10.88671875" style="1" customWidth="1"/>
    <col min="8467" max="8467" width="7.5546875" style="1" customWidth="1"/>
    <col min="8468" max="8468" width="0" style="1" hidden="1" customWidth="1"/>
    <col min="8469" max="8469" width="9.44140625" style="1" customWidth="1"/>
    <col min="8470" max="8470" width="17" style="1" customWidth="1"/>
    <col min="8471" max="8471" width="11.33203125" style="1" customWidth="1"/>
    <col min="8472" max="8472" width="11" style="1" customWidth="1"/>
    <col min="8473" max="8473" width="9.44140625" style="1" customWidth="1"/>
    <col min="8474" max="8474" width="14.6640625" style="1" bestFit="1" customWidth="1"/>
    <col min="8475" max="8475" width="16.33203125" style="1" customWidth="1"/>
    <col min="8476" max="8476" width="12.6640625" style="1" customWidth="1"/>
    <col min="8477" max="8477" width="9.33203125" style="1"/>
    <col min="8478" max="8478" width="13.44140625" style="1" customWidth="1"/>
    <col min="8479" max="8695" width="9.33203125" style="1"/>
    <col min="8696" max="8696" width="11" style="1" customWidth="1"/>
    <col min="8697" max="8697" width="0" style="1" hidden="1" customWidth="1"/>
    <col min="8698" max="8698" width="23" style="1" bestFit="1" customWidth="1"/>
    <col min="8699" max="8699" width="33.44140625" style="1" customWidth="1"/>
    <col min="8700" max="8703" width="0" style="1" hidden="1" customWidth="1"/>
    <col min="8704" max="8704" width="14.44140625" style="1" customWidth="1"/>
    <col min="8705" max="8705" width="24.5546875" style="1" customWidth="1"/>
    <col min="8706" max="8706" width="20.88671875" style="1" customWidth="1"/>
    <col min="8707" max="8707" width="12.6640625" style="1" customWidth="1"/>
    <col min="8708" max="8708" width="11.33203125" style="1" customWidth="1"/>
    <col min="8709" max="8709" width="10.5546875" style="1" customWidth="1"/>
    <col min="8710" max="8711" width="9" style="1" customWidth="1"/>
    <col min="8712" max="8712" width="13.109375" style="1" customWidth="1"/>
    <col min="8713" max="8714" width="10.5546875" style="1" customWidth="1"/>
    <col min="8715" max="8715" width="9" style="1" customWidth="1"/>
    <col min="8716" max="8716" width="10.6640625" style="1" customWidth="1"/>
    <col min="8717" max="8718" width="0" style="1" hidden="1" customWidth="1"/>
    <col min="8719" max="8719" width="13.109375" style="1" customWidth="1"/>
    <col min="8720" max="8720" width="10.5546875" style="1" customWidth="1"/>
    <col min="8721" max="8721" width="11" style="1" customWidth="1"/>
    <col min="8722" max="8722" width="10.88671875" style="1" customWidth="1"/>
    <col min="8723" max="8723" width="7.5546875" style="1" customWidth="1"/>
    <col min="8724" max="8724" width="0" style="1" hidden="1" customWidth="1"/>
    <col min="8725" max="8725" width="9.44140625" style="1" customWidth="1"/>
    <col min="8726" max="8726" width="17" style="1" customWidth="1"/>
    <col min="8727" max="8727" width="11.33203125" style="1" customWidth="1"/>
    <col min="8728" max="8728" width="11" style="1" customWidth="1"/>
    <col min="8729" max="8729" width="9.44140625" style="1" customWidth="1"/>
    <col min="8730" max="8730" width="14.6640625" style="1" bestFit="1" customWidth="1"/>
    <col min="8731" max="8731" width="16.33203125" style="1" customWidth="1"/>
    <col min="8732" max="8732" width="12.6640625" style="1" customWidth="1"/>
    <col min="8733" max="8733" width="9.33203125" style="1"/>
    <col min="8734" max="8734" width="13.44140625" style="1" customWidth="1"/>
    <col min="8735" max="8951" width="9.33203125" style="1"/>
    <col min="8952" max="8952" width="11" style="1" customWidth="1"/>
    <col min="8953" max="8953" width="0" style="1" hidden="1" customWidth="1"/>
    <col min="8954" max="8954" width="23" style="1" bestFit="1" customWidth="1"/>
    <col min="8955" max="8955" width="33.44140625" style="1" customWidth="1"/>
    <col min="8956" max="8959" width="0" style="1" hidden="1" customWidth="1"/>
    <col min="8960" max="8960" width="14.44140625" style="1" customWidth="1"/>
    <col min="8961" max="8961" width="24.5546875" style="1" customWidth="1"/>
    <col min="8962" max="8962" width="20.88671875" style="1" customWidth="1"/>
    <col min="8963" max="8963" width="12.6640625" style="1" customWidth="1"/>
    <col min="8964" max="8964" width="11.33203125" style="1" customWidth="1"/>
    <col min="8965" max="8965" width="10.5546875" style="1" customWidth="1"/>
    <col min="8966" max="8967" width="9" style="1" customWidth="1"/>
    <col min="8968" max="8968" width="13.109375" style="1" customWidth="1"/>
    <col min="8969" max="8970" width="10.5546875" style="1" customWidth="1"/>
    <col min="8971" max="8971" width="9" style="1" customWidth="1"/>
    <col min="8972" max="8972" width="10.6640625" style="1" customWidth="1"/>
    <col min="8973" max="8974" width="0" style="1" hidden="1" customWidth="1"/>
    <col min="8975" max="8975" width="13.109375" style="1" customWidth="1"/>
    <col min="8976" max="8976" width="10.5546875" style="1" customWidth="1"/>
    <col min="8977" max="8977" width="11" style="1" customWidth="1"/>
    <col min="8978" max="8978" width="10.88671875" style="1" customWidth="1"/>
    <col min="8979" max="8979" width="7.5546875" style="1" customWidth="1"/>
    <col min="8980" max="8980" width="0" style="1" hidden="1" customWidth="1"/>
    <col min="8981" max="8981" width="9.44140625" style="1" customWidth="1"/>
    <col min="8982" max="8982" width="17" style="1" customWidth="1"/>
    <col min="8983" max="8983" width="11.33203125" style="1" customWidth="1"/>
    <col min="8984" max="8984" width="11" style="1" customWidth="1"/>
    <col min="8985" max="8985" width="9.44140625" style="1" customWidth="1"/>
    <col min="8986" max="8986" width="14.6640625" style="1" bestFit="1" customWidth="1"/>
    <col min="8987" max="8987" width="16.33203125" style="1" customWidth="1"/>
    <col min="8988" max="8988" width="12.6640625" style="1" customWidth="1"/>
    <col min="8989" max="8989" width="9.33203125" style="1"/>
    <col min="8990" max="8990" width="13.44140625" style="1" customWidth="1"/>
    <col min="8991" max="9207" width="9.33203125" style="1"/>
    <col min="9208" max="9208" width="11" style="1" customWidth="1"/>
    <col min="9209" max="9209" width="0" style="1" hidden="1" customWidth="1"/>
    <col min="9210" max="9210" width="23" style="1" bestFit="1" customWidth="1"/>
    <col min="9211" max="9211" width="33.44140625" style="1" customWidth="1"/>
    <col min="9212" max="9215" width="0" style="1" hidden="1" customWidth="1"/>
    <col min="9216" max="9216" width="14.44140625" style="1" customWidth="1"/>
    <col min="9217" max="9217" width="24.5546875" style="1" customWidth="1"/>
    <col min="9218" max="9218" width="20.88671875" style="1" customWidth="1"/>
    <col min="9219" max="9219" width="12.6640625" style="1" customWidth="1"/>
    <col min="9220" max="9220" width="11.33203125" style="1" customWidth="1"/>
    <col min="9221" max="9221" width="10.5546875" style="1" customWidth="1"/>
    <col min="9222" max="9223" width="9" style="1" customWidth="1"/>
    <col min="9224" max="9224" width="13.109375" style="1" customWidth="1"/>
    <col min="9225" max="9226" width="10.5546875" style="1" customWidth="1"/>
    <col min="9227" max="9227" width="9" style="1" customWidth="1"/>
    <col min="9228" max="9228" width="10.6640625" style="1" customWidth="1"/>
    <col min="9229" max="9230" width="0" style="1" hidden="1" customWidth="1"/>
    <col min="9231" max="9231" width="13.109375" style="1" customWidth="1"/>
    <col min="9232" max="9232" width="10.5546875" style="1" customWidth="1"/>
    <col min="9233" max="9233" width="11" style="1" customWidth="1"/>
    <col min="9234" max="9234" width="10.88671875" style="1" customWidth="1"/>
    <col min="9235" max="9235" width="7.5546875" style="1" customWidth="1"/>
    <col min="9236" max="9236" width="0" style="1" hidden="1" customWidth="1"/>
    <col min="9237" max="9237" width="9.44140625" style="1" customWidth="1"/>
    <col min="9238" max="9238" width="17" style="1" customWidth="1"/>
    <col min="9239" max="9239" width="11.33203125" style="1" customWidth="1"/>
    <col min="9240" max="9240" width="11" style="1" customWidth="1"/>
    <col min="9241" max="9241" width="9.44140625" style="1" customWidth="1"/>
    <col min="9242" max="9242" width="14.6640625" style="1" bestFit="1" customWidth="1"/>
    <col min="9243" max="9243" width="16.33203125" style="1" customWidth="1"/>
    <col min="9244" max="9244" width="12.6640625" style="1" customWidth="1"/>
    <col min="9245" max="9245" width="9.33203125" style="1"/>
    <col min="9246" max="9246" width="13.44140625" style="1" customWidth="1"/>
    <col min="9247" max="9463" width="9.33203125" style="1"/>
    <col min="9464" max="9464" width="11" style="1" customWidth="1"/>
    <col min="9465" max="9465" width="0" style="1" hidden="1" customWidth="1"/>
    <col min="9466" max="9466" width="23" style="1" bestFit="1" customWidth="1"/>
    <col min="9467" max="9467" width="33.44140625" style="1" customWidth="1"/>
    <col min="9468" max="9471" width="0" style="1" hidden="1" customWidth="1"/>
    <col min="9472" max="9472" width="14.44140625" style="1" customWidth="1"/>
    <col min="9473" max="9473" width="24.5546875" style="1" customWidth="1"/>
    <col min="9474" max="9474" width="20.88671875" style="1" customWidth="1"/>
    <col min="9475" max="9475" width="12.6640625" style="1" customWidth="1"/>
    <col min="9476" max="9476" width="11.33203125" style="1" customWidth="1"/>
    <col min="9477" max="9477" width="10.5546875" style="1" customWidth="1"/>
    <col min="9478" max="9479" width="9" style="1" customWidth="1"/>
    <col min="9480" max="9480" width="13.109375" style="1" customWidth="1"/>
    <col min="9481" max="9482" width="10.5546875" style="1" customWidth="1"/>
    <col min="9483" max="9483" width="9" style="1" customWidth="1"/>
    <col min="9484" max="9484" width="10.6640625" style="1" customWidth="1"/>
    <col min="9485" max="9486" width="0" style="1" hidden="1" customWidth="1"/>
    <col min="9487" max="9487" width="13.109375" style="1" customWidth="1"/>
    <col min="9488" max="9488" width="10.5546875" style="1" customWidth="1"/>
    <col min="9489" max="9489" width="11" style="1" customWidth="1"/>
    <col min="9490" max="9490" width="10.88671875" style="1" customWidth="1"/>
    <col min="9491" max="9491" width="7.5546875" style="1" customWidth="1"/>
    <col min="9492" max="9492" width="0" style="1" hidden="1" customWidth="1"/>
    <col min="9493" max="9493" width="9.44140625" style="1" customWidth="1"/>
    <col min="9494" max="9494" width="17" style="1" customWidth="1"/>
    <col min="9495" max="9495" width="11.33203125" style="1" customWidth="1"/>
    <col min="9496" max="9496" width="11" style="1" customWidth="1"/>
    <col min="9497" max="9497" width="9.44140625" style="1" customWidth="1"/>
    <col min="9498" max="9498" width="14.6640625" style="1" bestFit="1" customWidth="1"/>
    <col min="9499" max="9499" width="16.33203125" style="1" customWidth="1"/>
    <col min="9500" max="9500" width="12.6640625" style="1" customWidth="1"/>
    <col min="9501" max="9501" width="9.33203125" style="1"/>
    <col min="9502" max="9502" width="13.44140625" style="1" customWidth="1"/>
    <col min="9503" max="9719" width="9.33203125" style="1"/>
    <col min="9720" max="9720" width="11" style="1" customWidth="1"/>
    <col min="9721" max="9721" width="0" style="1" hidden="1" customWidth="1"/>
    <col min="9722" max="9722" width="23" style="1" bestFit="1" customWidth="1"/>
    <col min="9723" max="9723" width="33.44140625" style="1" customWidth="1"/>
    <col min="9724" max="9727" width="0" style="1" hidden="1" customWidth="1"/>
    <col min="9728" max="9728" width="14.44140625" style="1" customWidth="1"/>
    <col min="9729" max="9729" width="24.5546875" style="1" customWidth="1"/>
    <col min="9730" max="9730" width="20.88671875" style="1" customWidth="1"/>
    <col min="9731" max="9731" width="12.6640625" style="1" customWidth="1"/>
    <col min="9732" max="9732" width="11.33203125" style="1" customWidth="1"/>
    <col min="9733" max="9733" width="10.5546875" style="1" customWidth="1"/>
    <col min="9734" max="9735" width="9" style="1" customWidth="1"/>
    <col min="9736" max="9736" width="13.109375" style="1" customWidth="1"/>
    <col min="9737" max="9738" width="10.5546875" style="1" customWidth="1"/>
    <col min="9739" max="9739" width="9" style="1" customWidth="1"/>
    <col min="9740" max="9740" width="10.6640625" style="1" customWidth="1"/>
    <col min="9741" max="9742" width="0" style="1" hidden="1" customWidth="1"/>
    <col min="9743" max="9743" width="13.109375" style="1" customWidth="1"/>
    <col min="9744" max="9744" width="10.5546875" style="1" customWidth="1"/>
    <col min="9745" max="9745" width="11" style="1" customWidth="1"/>
    <col min="9746" max="9746" width="10.88671875" style="1" customWidth="1"/>
    <col min="9747" max="9747" width="7.5546875" style="1" customWidth="1"/>
    <col min="9748" max="9748" width="0" style="1" hidden="1" customWidth="1"/>
    <col min="9749" max="9749" width="9.44140625" style="1" customWidth="1"/>
    <col min="9750" max="9750" width="17" style="1" customWidth="1"/>
    <col min="9751" max="9751" width="11.33203125" style="1" customWidth="1"/>
    <col min="9752" max="9752" width="11" style="1" customWidth="1"/>
    <col min="9753" max="9753" width="9.44140625" style="1" customWidth="1"/>
    <col min="9754" max="9754" width="14.6640625" style="1" bestFit="1" customWidth="1"/>
    <col min="9755" max="9755" width="16.33203125" style="1" customWidth="1"/>
    <col min="9756" max="9756" width="12.6640625" style="1" customWidth="1"/>
    <col min="9757" max="9757" width="9.33203125" style="1"/>
    <col min="9758" max="9758" width="13.44140625" style="1" customWidth="1"/>
    <col min="9759" max="9975" width="9.33203125" style="1"/>
    <col min="9976" max="9976" width="11" style="1" customWidth="1"/>
    <col min="9977" max="9977" width="0" style="1" hidden="1" customWidth="1"/>
    <col min="9978" max="9978" width="23" style="1" bestFit="1" customWidth="1"/>
    <col min="9979" max="9979" width="33.44140625" style="1" customWidth="1"/>
    <col min="9980" max="9983" width="0" style="1" hidden="1" customWidth="1"/>
    <col min="9984" max="9984" width="14.44140625" style="1" customWidth="1"/>
    <col min="9985" max="9985" width="24.5546875" style="1" customWidth="1"/>
    <col min="9986" max="9986" width="20.88671875" style="1" customWidth="1"/>
    <col min="9987" max="9987" width="12.6640625" style="1" customWidth="1"/>
    <col min="9988" max="9988" width="11.33203125" style="1" customWidth="1"/>
    <col min="9989" max="9989" width="10.5546875" style="1" customWidth="1"/>
    <col min="9990" max="9991" width="9" style="1" customWidth="1"/>
    <col min="9992" max="9992" width="13.109375" style="1" customWidth="1"/>
    <col min="9993" max="9994" width="10.5546875" style="1" customWidth="1"/>
    <col min="9995" max="9995" width="9" style="1" customWidth="1"/>
    <col min="9996" max="9996" width="10.6640625" style="1" customWidth="1"/>
    <col min="9997" max="9998" width="0" style="1" hidden="1" customWidth="1"/>
    <col min="9999" max="9999" width="13.109375" style="1" customWidth="1"/>
    <col min="10000" max="10000" width="10.5546875" style="1" customWidth="1"/>
    <col min="10001" max="10001" width="11" style="1" customWidth="1"/>
    <col min="10002" max="10002" width="10.88671875" style="1" customWidth="1"/>
    <col min="10003" max="10003" width="7.5546875" style="1" customWidth="1"/>
    <col min="10004" max="10004" width="0" style="1" hidden="1" customWidth="1"/>
    <col min="10005" max="10005" width="9.44140625" style="1" customWidth="1"/>
    <col min="10006" max="10006" width="17" style="1" customWidth="1"/>
    <col min="10007" max="10007" width="11.33203125" style="1" customWidth="1"/>
    <col min="10008" max="10008" width="11" style="1" customWidth="1"/>
    <col min="10009" max="10009" width="9.44140625" style="1" customWidth="1"/>
    <col min="10010" max="10010" width="14.6640625" style="1" bestFit="1" customWidth="1"/>
    <col min="10011" max="10011" width="16.33203125" style="1" customWidth="1"/>
    <col min="10012" max="10012" width="12.6640625" style="1" customWidth="1"/>
    <col min="10013" max="10013" width="9.33203125" style="1"/>
    <col min="10014" max="10014" width="13.44140625" style="1" customWidth="1"/>
    <col min="10015" max="10231" width="9.33203125" style="1"/>
    <col min="10232" max="10232" width="11" style="1" customWidth="1"/>
    <col min="10233" max="10233" width="0" style="1" hidden="1" customWidth="1"/>
    <col min="10234" max="10234" width="23" style="1" bestFit="1" customWidth="1"/>
    <col min="10235" max="10235" width="33.44140625" style="1" customWidth="1"/>
    <col min="10236" max="10239" width="0" style="1" hidden="1" customWidth="1"/>
    <col min="10240" max="10240" width="14.44140625" style="1" customWidth="1"/>
    <col min="10241" max="10241" width="24.5546875" style="1" customWidth="1"/>
    <col min="10242" max="10242" width="20.88671875" style="1" customWidth="1"/>
    <col min="10243" max="10243" width="12.6640625" style="1" customWidth="1"/>
    <col min="10244" max="10244" width="11.33203125" style="1" customWidth="1"/>
    <col min="10245" max="10245" width="10.5546875" style="1" customWidth="1"/>
    <col min="10246" max="10247" width="9" style="1" customWidth="1"/>
    <col min="10248" max="10248" width="13.109375" style="1" customWidth="1"/>
    <col min="10249" max="10250" width="10.5546875" style="1" customWidth="1"/>
    <col min="10251" max="10251" width="9" style="1" customWidth="1"/>
    <col min="10252" max="10252" width="10.6640625" style="1" customWidth="1"/>
    <col min="10253" max="10254" width="0" style="1" hidden="1" customWidth="1"/>
    <col min="10255" max="10255" width="13.109375" style="1" customWidth="1"/>
    <col min="10256" max="10256" width="10.5546875" style="1" customWidth="1"/>
    <col min="10257" max="10257" width="11" style="1" customWidth="1"/>
    <col min="10258" max="10258" width="10.88671875" style="1" customWidth="1"/>
    <col min="10259" max="10259" width="7.5546875" style="1" customWidth="1"/>
    <col min="10260" max="10260" width="0" style="1" hidden="1" customWidth="1"/>
    <col min="10261" max="10261" width="9.44140625" style="1" customWidth="1"/>
    <col min="10262" max="10262" width="17" style="1" customWidth="1"/>
    <col min="10263" max="10263" width="11.33203125" style="1" customWidth="1"/>
    <col min="10264" max="10264" width="11" style="1" customWidth="1"/>
    <col min="10265" max="10265" width="9.44140625" style="1" customWidth="1"/>
    <col min="10266" max="10266" width="14.6640625" style="1" bestFit="1" customWidth="1"/>
    <col min="10267" max="10267" width="16.33203125" style="1" customWidth="1"/>
    <col min="10268" max="10268" width="12.6640625" style="1" customWidth="1"/>
    <col min="10269" max="10269" width="9.33203125" style="1"/>
    <col min="10270" max="10270" width="13.44140625" style="1" customWidth="1"/>
    <col min="10271" max="10487" width="9.33203125" style="1"/>
    <col min="10488" max="10488" width="11" style="1" customWidth="1"/>
    <col min="10489" max="10489" width="0" style="1" hidden="1" customWidth="1"/>
    <col min="10490" max="10490" width="23" style="1" bestFit="1" customWidth="1"/>
    <col min="10491" max="10491" width="33.44140625" style="1" customWidth="1"/>
    <col min="10492" max="10495" width="0" style="1" hidden="1" customWidth="1"/>
    <col min="10496" max="10496" width="14.44140625" style="1" customWidth="1"/>
    <col min="10497" max="10497" width="24.5546875" style="1" customWidth="1"/>
    <col min="10498" max="10498" width="20.88671875" style="1" customWidth="1"/>
    <col min="10499" max="10499" width="12.6640625" style="1" customWidth="1"/>
    <col min="10500" max="10500" width="11.33203125" style="1" customWidth="1"/>
    <col min="10501" max="10501" width="10.5546875" style="1" customWidth="1"/>
    <col min="10502" max="10503" width="9" style="1" customWidth="1"/>
    <col min="10504" max="10504" width="13.109375" style="1" customWidth="1"/>
    <col min="10505" max="10506" width="10.5546875" style="1" customWidth="1"/>
    <col min="10507" max="10507" width="9" style="1" customWidth="1"/>
    <col min="10508" max="10508" width="10.6640625" style="1" customWidth="1"/>
    <col min="10509" max="10510" width="0" style="1" hidden="1" customWidth="1"/>
    <col min="10511" max="10511" width="13.109375" style="1" customWidth="1"/>
    <col min="10512" max="10512" width="10.5546875" style="1" customWidth="1"/>
    <col min="10513" max="10513" width="11" style="1" customWidth="1"/>
    <col min="10514" max="10514" width="10.88671875" style="1" customWidth="1"/>
    <col min="10515" max="10515" width="7.5546875" style="1" customWidth="1"/>
    <col min="10516" max="10516" width="0" style="1" hidden="1" customWidth="1"/>
    <col min="10517" max="10517" width="9.44140625" style="1" customWidth="1"/>
    <col min="10518" max="10518" width="17" style="1" customWidth="1"/>
    <col min="10519" max="10519" width="11.33203125" style="1" customWidth="1"/>
    <col min="10520" max="10520" width="11" style="1" customWidth="1"/>
    <col min="10521" max="10521" width="9.44140625" style="1" customWidth="1"/>
    <col min="10522" max="10522" width="14.6640625" style="1" bestFit="1" customWidth="1"/>
    <col min="10523" max="10523" width="16.33203125" style="1" customWidth="1"/>
    <col min="10524" max="10524" width="12.6640625" style="1" customWidth="1"/>
    <col min="10525" max="10525" width="9.33203125" style="1"/>
    <col min="10526" max="10526" width="13.44140625" style="1" customWidth="1"/>
    <col min="10527" max="10743" width="9.33203125" style="1"/>
    <col min="10744" max="10744" width="11" style="1" customWidth="1"/>
    <col min="10745" max="10745" width="0" style="1" hidden="1" customWidth="1"/>
    <col min="10746" max="10746" width="23" style="1" bestFit="1" customWidth="1"/>
    <col min="10747" max="10747" width="33.44140625" style="1" customWidth="1"/>
    <col min="10748" max="10751" width="0" style="1" hidden="1" customWidth="1"/>
    <col min="10752" max="10752" width="14.44140625" style="1" customWidth="1"/>
    <col min="10753" max="10753" width="24.5546875" style="1" customWidth="1"/>
    <col min="10754" max="10754" width="20.88671875" style="1" customWidth="1"/>
    <col min="10755" max="10755" width="12.6640625" style="1" customWidth="1"/>
    <col min="10756" max="10756" width="11.33203125" style="1" customWidth="1"/>
    <col min="10757" max="10757" width="10.5546875" style="1" customWidth="1"/>
    <col min="10758" max="10759" width="9" style="1" customWidth="1"/>
    <col min="10760" max="10760" width="13.109375" style="1" customWidth="1"/>
    <col min="10761" max="10762" width="10.5546875" style="1" customWidth="1"/>
    <col min="10763" max="10763" width="9" style="1" customWidth="1"/>
    <col min="10764" max="10764" width="10.6640625" style="1" customWidth="1"/>
    <col min="10765" max="10766" width="0" style="1" hidden="1" customWidth="1"/>
    <col min="10767" max="10767" width="13.109375" style="1" customWidth="1"/>
    <col min="10768" max="10768" width="10.5546875" style="1" customWidth="1"/>
    <col min="10769" max="10769" width="11" style="1" customWidth="1"/>
    <col min="10770" max="10770" width="10.88671875" style="1" customWidth="1"/>
    <col min="10771" max="10771" width="7.5546875" style="1" customWidth="1"/>
    <col min="10772" max="10772" width="0" style="1" hidden="1" customWidth="1"/>
    <col min="10773" max="10773" width="9.44140625" style="1" customWidth="1"/>
    <col min="10774" max="10774" width="17" style="1" customWidth="1"/>
    <col min="10775" max="10775" width="11.33203125" style="1" customWidth="1"/>
    <col min="10776" max="10776" width="11" style="1" customWidth="1"/>
    <col min="10777" max="10777" width="9.44140625" style="1" customWidth="1"/>
    <col min="10778" max="10778" width="14.6640625" style="1" bestFit="1" customWidth="1"/>
    <col min="10779" max="10779" width="16.33203125" style="1" customWidth="1"/>
    <col min="10780" max="10780" width="12.6640625" style="1" customWidth="1"/>
    <col min="10781" max="10781" width="9.33203125" style="1"/>
    <col min="10782" max="10782" width="13.44140625" style="1" customWidth="1"/>
    <col min="10783" max="10999" width="9.33203125" style="1"/>
    <col min="11000" max="11000" width="11" style="1" customWidth="1"/>
    <col min="11001" max="11001" width="0" style="1" hidden="1" customWidth="1"/>
    <col min="11002" max="11002" width="23" style="1" bestFit="1" customWidth="1"/>
    <col min="11003" max="11003" width="33.44140625" style="1" customWidth="1"/>
    <col min="11004" max="11007" width="0" style="1" hidden="1" customWidth="1"/>
    <col min="11008" max="11008" width="14.44140625" style="1" customWidth="1"/>
    <col min="11009" max="11009" width="24.5546875" style="1" customWidth="1"/>
    <col min="11010" max="11010" width="20.88671875" style="1" customWidth="1"/>
    <col min="11011" max="11011" width="12.6640625" style="1" customWidth="1"/>
    <col min="11012" max="11012" width="11.33203125" style="1" customWidth="1"/>
    <col min="11013" max="11013" width="10.5546875" style="1" customWidth="1"/>
    <col min="11014" max="11015" width="9" style="1" customWidth="1"/>
    <col min="11016" max="11016" width="13.109375" style="1" customWidth="1"/>
    <col min="11017" max="11018" width="10.5546875" style="1" customWidth="1"/>
    <col min="11019" max="11019" width="9" style="1" customWidth="1"/>
    <col min="11020" max="11020" width="10.6640625" style="1" customWidth="1"/>
    <col min="11021" max="11022" width="0" style="1" hidden="1" customWidth="1"/>
    <col min="11023" max="11023" width="13.109375" style="1" customWidth="1"/>
    <col min="11024" max="11024" width="10.5546875" style="1" customWidth="1"/>
    <col min="11025" max="11025" width="11" style="1" customWidth="1"/>
    <col min="11026" max="11026" width="10.88671875" style="1" customWidth="1"/>
    <col min="11027" max="11027" width="7.5546875" style="1" customWidth="1"/>
    <col min="11028" max="11028" width="0" style="1" hidden="1" customWidth="1"/>
    <col min="11029" max="11029" width="9.44140625" style="1" customWidth="1"/>
    <col min="11030" max="11030" width="17" style="1" customWidth="1"/>
    <col min="11031" max="11031" width="11.33203125" style="1" customWidth="1"/>
    <col min="11032" max="11032" width="11" style="1" customWidth="1"/>
    <col min="11033" max="11033" width="9.44140625" style="1" customWidth="1"/>
    <col min="11034" max="11034" width="14.6640625" style="1" bestFit="1" customWidth="1"/>
    <col min="11035" max="11035" width="16.33203125" style="1" customWidth="1"/>
    <col min="11036" max="11036" width="12.6640625" style="1" customWidth="1"/>
    <col min="11037" max="11037" width="9.33203125" style="1"/>
    <col min="11038" max="11038" width="13.44140625" style="1" customWidth="1"/>
    <col min="11039" max="11255" width="9.33203125" style="1"/>
    <col min="11256" max="11256" width="11" style="1" customWidth="1"/>
    <col min="11257" max="11257" width="0" style="1" hidden="1" customWidth="1"/>
    <col min="11258" max="11258" width="23" style="1" bestFit="1" customWidth="1"/>
    <col min="11259" max="11259" width="33.44140625" style="1" customWidth="1"/>
    <col min="11260" max="11263" width="0" style="1" hidden="1" customWidth="1"/>
    <col min="11264" max="11264" width="14.44140625" style="1" customWidth="1"/>
    <col min="11265" max="11265" width="24.5546875" style="1" customWidth="1"/>
    <col min="11266" max="11266" width="20.88671875" style="1" customWidth="1"/>
    <col min="11267" max="11267" width="12.6640625" style="1" customWidth="1"/>
    <col min="11268" max="11268" width="11.33203125" style="1" customWidth="1"/>
    <col min="11269" max="11269" width="10.5546875" style="1" customWidth="1"/>
    <col min="11270" max="11271" width="9" style="1" customWidth="1"/>
    <col min="11272" max="11272" width="13.109375" style="1" customWidth="1"/>
    <col min="11273" max="11274" width="10.5546875" style="1" customWidth="1"/>
    <col min="11275" max="11275" width="9" style="1" customWidth="1"/>
    <col min="11276" max="11276" width="10.6640625" style="1" customWidth="1"/>
    <col min="11277" max="11278" width="0" style="1" hidden="1" customWidth="1"/>
    <col min="11279" max="11279" width="13.109375" style="1" customWidth="1"/>
    <col min="11280" max="11280" width="10.5546875" style="1" customWidth="1"/>
    <col min="11281" max="11281" width="11" style="1" customWidth="1"/>
    <col min="11282" max="11282" width="10.88671875" style="1" customWidth="1"/>
    <col min="11283" max="11283" width="7.5546875" style="1" customWidth="1"/>
    <col min="11284" max="11284" width="0" style="1" hidden="1" customWidth="1"/>
    <col min="11285" max="11285" width="9.44140625" style="1" customWidth="1"/>
    <col min="11286" max="11286" width="17" style="1" customWidth="1"/>
    <col min="11287" max="11287" width="11.33203125" style="1" customWidth="1"/>
    <col min="11288" max="11288" width="11" style="1" customWidth="1"/>
    <col min="11289" max="11289" width="9.44140625" style="1" customWidth="1"/>
    <col min="11290" max="11290" width="14.6640625" style="1" bestFit="1" customWidth="1"/>
    <col min="11291" max="11291" width="16.33203125" style="1" customWidth="1"/>
    <col min="11292" max="11292" width="12.6640625" style="1" customWidth="1"/>
    <col min="11293" max="11293" width="9.33203125" style="1"/>
    <col min="11294" max="11294" width="13.44140625" style="1" customWidth="1"/>
    <col min="11295" max="11511" width="9.33203125" style="1"/>
    <col min="11512" max="11512" width="11" style="1" customWidth="1"/>
    <col min="11513" max="11513" width="0" style="1" hidden="1" customWidth="1"/>
    <col min="11514" max="11514" width="23" style="1" bestFit="1" customWidth="1"/>
    <col min="11515" max="11515" width="33.44140625" style="1" customWidth="1"/>
    <col min="11516" max="11519" width="0" style="1" hidden="1" customWidth="1"/>
    <col min="11520" max="11520" width="14.44140625" style="1" customWidth="1"/>
    <col min="11521" max="11521" width="24.5546875" style="1" customWidth="1"/>
    <col min="11522" max="11522" width="20.88671875" style="1" customWidth="1"/>
    <col min="11523" max="11523" width="12.6640625" style="1" customWidth="1"/>
    <col min="11524" max="11524" width="11.33203125" style="1" customWidth="1"/>
    <col min="11525" max="11525" width="10.5546875" style="1" customWidth="1"/>
    <col min="11526" max="11527" width="9" style="1" customWidth="1"/>
    <col min="11528" max="11528" width="13.109375" style="1" customWidth="1"/>
    <col min="11529" max="11530" width="10.5546875" style="1" customWidth="1"/>
    <col min="11531" max="11531" width="9" style="1" customWidth="1"/>
    <col min="11532" max="11532" width="10.6640625" style="1" customWidth="1"/>
    <col min="11533" max="11534" width="0" style="1" hidden="1" customWidth="1"/>
    <col min="11535" max="11535" width="13.109375" style="1" customWidth="1"/>
    <col min="11536" max="11536" width="10.5546875" style="1" customWidth="1"/>
    <col min="11537" max="11537" width="11" style="1" customWidth="1"/>
    <col min="11538" max="11538" width="10.88671875" style="1" customWidth="1"/>
    <col min="11539" max="11539" width="7.5546875" style="1" customWidth="1"/>
    <col min="11540" max="11540" width="0" style="1" hidden="1" customWidth="1"/>
    <col min="11541" max="11541" width="9.44140625" style="1" customWidth="1"/>
    <col min="11542" max="11542" width="17" style="1" customWidth="1"/>
    <col min="11543" max="11543" width="11.33203125" style="1" customWidth="1"/>
    <col min="11544" max="11544" width="11" style="1" customWidth="1"/>
    <col min="11545" max="11545" width="9.44140625" style="1" customWidth="1"/>
    <col min="11546" max="11546" width="14.6640625" style="1" bestFit="1" customWidth="1"/>
    <col min="11547" max="11547" width="16.33203125" style="1" customWidth="1"/>
    <col min="11548" max="11548" width="12.6640625" style="1" customWidth="1"/>
    <col min="11549" max="11549" width="9.33203125" style="1"/>
    <col min="11550" max="11550" width="13.44140625" style="1" customWidth="1"/>
    <col min="11551" max="11767" width="9.33203125" style="1"/>
    <col min="11768" max="11768" width="11" style="1" customWidth="1"/>
    <col min="11769" max="11769" width="0" style="1" hidden="1" customWidth="1"/>
    <col min="11770" max="11770" width="23" style="1" bestFit="1" customWidth="1"/>
    <col min="11771" max="11771" width="33.44140625" style="1" customWidth="1"/>
    <col min="11772" max="11775" width="0" style="1" hidden="1" customWidth="1"/>
    <col min="11776" max="11776" width="14.44140625" style="1" customWidth="1"/>
    <col min="11777" max="11777" width="24.5546875" style="1" customWidth="1"/>
    <col min="11778" max="11778" width="20.88671875" style="1" customWidth="1"/>
    <col min="11779" max="11779" width="12.6640625" style="1" customWidth="1"/>
    <col min="11780" max="11780" width="11.33203125" style="1" customWidth="1"/>
    <col min="11781" max="11781" width="10.5546875" style="1" customWidth="1"/>
    <col min="11782" max="11783" width="9" style="1" customWidth="1"/>
    <col min="11784" max="11784" width="13.109375" style="1" customWidth="1"/>
    <col min="11785" max="11786" width="10.5546875" style="1" customWidth="1"/>
    <col min="11787" max="11787" width="9" style="1" customWidth="1"/>
    <col min="11788" max="11788" width="10.6640625" style="1" customWidth="1"/>
    <col min="11789" max="11790" width="0" style="1" hidden="1" customWidth="1"/>
    <col min="11791" max="11791" width="13.109375" style="1" customWidth="1"/>
    <col min="11792" max="11792" width="10.5546875" style="1" customWidth="1"/>
    <col min="11793" max="11793" width="11" style="1" customWidth="1"/>
    <col min="11794" max="11794" width="10.88671875" style="1" customWidth="1"/>
    <col min="11795" max="11795" width="7.5546875" style="1" customWidth="1"/>
    <col min="11796" max="11796" width="0" style="1" hidden="1" customWidth="1"/>
    <col min="11797" max="11797" width="9.44140625" style="1" customWidth="1"/>
    <col min="11798" max="11798" width="17" style="1" customWidth="1"/>
    <col min="11799" max="11799" width="11.33203125" style="1" customWidth="1"/>
    <col min="11800" max="11800" width="11" style="1" customWidth="1"/>
    <col min="11801" max="11801" width="9.44140625" style="1" customWidth="1"/>
    <col min="11802" max="11802" width="14.6640625" style="1" bestFit="1" customWidth="1"/>
    <col min="11803" max="11803" width="16.33203125" style="1" customWidth="1"/>
    <col min="11804" max="11804" width="12.6640625" style="1" customWidth="1"/>
    <col min="11805" max="11805" width="9.33203125" style="1"/>
    <col min="11806" max="11806" width="13.44140625" style="1" customWidth="1"/>
    <col min="11807" max="12023" width="9.33203125" style="1"/>
    <col min="12024" max="12024" width="11" style="1" customWidth="1"/>
    <col min="12025" max="12025" width="0" style="1" hidden="1" customWidth="1"/>
    <col min="12026" max="12026" width="23" style="1" bestFit="1" customWidth="1"/>
    <col min="12027" max="12027" width="33.44140625" style="1" customWidth="1"/>
    <col min="12028" max="12031" width="0" style="1" hidden="1" customWidth="1"/>
    <col min="12032" max="12032" width="14.44140625" style="1" customWidth="1"/>
    <col min="12033" max="12033" width="24.5546875" style="1" customWidth="1"/>
    <col min="12034" max="12034" width="20.88671875" style="1" customWidth="1"/>
    <col min="12035" max="12035" width="12.6640625" style="1" customWidth="1"/>
    <col min="12036" max="12036" width="11.33203125" style="1" customWidth="1"/>
    <col min="12037" max="12037" width="10.5546875" style="1" customWidth="1"/>
    <col min="12038" max="12039" width="9" style="1" customWidth="1"/>
    <col min="12040" max="12040" width="13.109375" style="1" customWidth="1"/>
    <col min="12041" max="12042" width="10.5546875" style="1" customWidth="1"/>
    <col min="12043" max="12043" width="9" style="1" customWidth="1"/>
    <col min="12044" max="12044" width="10.6640625" style="1" customWidth="1"/>
    <col min="12045" max="12046" width="0" style="1" hidden="1" customWidth="1"/>
    <col min="12047" max="12047" width="13.109375" style="1" customWidth="1"/>
    <col min="12048" max="12048" width="10.5546875" style="1" customWidth="1"/>
    <col min="12049" max="12049" width="11" style="1" customWidth="1"/>
    <col min="12050" max="12050" width="10.88671875" style="1" customWidth="1"/>
    <col min="12051" max="12051" width="7.5546875" style="1" customWidth="1"/>
    <col min="12052" max="12052" width="0" style="1" hidden="1" customWidth="1"/>
    <col min="12053" max="12053" width="9.44140625" style="1" customWidth="1"/>
    <col min="12054" max="12054" width="17" style="1" customWidth="1"/>
    <col min="12055" max="12055" width="11.33203125" style="1" customWidth="1"/>
    <col min="12056" max="12056" width="11" style="1" customWidth="1"/>
    <col min="12057" max="12057" width="9.44140625" style="1" customWidth="1"/>
    <col min="12058" max="12058" width="14.6640625" style="1" bestFit="1" customWidth="1"/>
    <col min="12059" max="12059" width="16.33203125" style="1" customWidth="1"/>
    <col min="12060" max="12060" width="12.6640625" style="1" customWidth="1"/>
    <col min="12061" max="12061" width="9.33203125" style="1"/>
    <col min="12062" max="12062" width="13.44140625" style="1" customWidth="1"/>
    <col min="12063" max="12279" width="9.33203125" style="1"/>
    <col min="12280" max="12280" width="11" style="1" customWidth="1"/>
    <col min="12281" max="12281" width="0" style="1" hidden="1" customWidth="1"/>
    <col min="12282" max="12282" width="23" style="1" bestFit="1" customWidth="1"/>
    <col min="12283" max="12283" width="33.44140625" style="1" customWidth="1"/>
    <col min="12284" max="12287" width="0" style="1" hidden="1" customWidth="1"/>
    <col min="12288" max="12288" width="14.44140625" style="1" customWidth="1"/>
    <col min="12289" max="12289" width="24.5546875" style="1" customWidth="1"/>
    <col min="12290" max="12290" width="20.88671875" style="1" customWidth="1"/>
    <col min="12291" max="12291" width="12.6640625" style="1" customWidth="1"/>
    <col min="12292" max="12292" width="11.33203125" style="1" customWidth="1"/>
    <col min="12293" max="12293" width="10.5546875" style="1" customWidth="1"/>
    <col min="12294" max="12295" width="9" style="1" customWidth="1"/>
    <col min="12296" max="12296" width="13.109375" style="1" customWidth="1"/>
    <col min="12297" max="12298" width="10.5546875" style="1" customWidth="1"/>
    <col min="12299" max="12299" width="9" style="1" customWidth="1"/>
    <col min="12300" max="12300" width="10.6640625" style="1" customWidth="1"/>
    <col min="12301" max="12302" width="0" style="1" hidden="1" customWidth="1"/>
    <col min="12303" max="12303" width="13.109375" style="1" customWidth="1"/>
    <col min="12304" max="12304" width="10.5546875" style="1" customWidth="1"/>
    <col min="12305" max="12305" width="11" style="1" customWidth="1"/>
    <col min="12306" max="12306" width="10.88671875" style="1" customWidth="1"/>
    <col min="12307" max="12307" width="7.5546875" style="1" customWidth="1"/>
    <col min="12308" max="12308" width="0" style="1" hidden="1" customWidth="1"/>
    <col min="12309" max="12309" width="9.44140625" style="1" customWidth="1"/>
    <col min="12310" max="12310" width="17" style="1" customWidth="1"/>
    <col min="12311" max="12311" width="11.33203125" style="1" customWidth="1"/>
    <col min="12312" max="12312" width="11" style="1" customWidth="1"/>
    <col min="12313" max="12313" width="9.44140625" style="1" customWidth="1"/>
    <col min="12314" max="12314" width="14.6640625" style="1" bestFit="1" customWidth="1"/>
    <col min="12315" max="12315" width="16.33203125" style="1" customWidth="1"/>
    <col min="12316" max="12316" width="12.6640625" style="1" customWidth="1"/>
    <col min="12317" max="12317" width="9.33203125" style="1"/>
    <col min="12318" max="12318" width="13.44140625" style="1" customWidth="1"/>
    <col min="12319" max="12535" width="9.33203125" style="1"/>
    <col min="12536" max="12536" width="11" style="1" customWidth="1"/>
    <col min="12537" max="12537" width="0" style="1" hidden="1" customWidth="1"/>
    <col min="12538" max="12538" width="23" style="1" bestFit="1" customWidth="1"/>
    <col min="12539" max="12539" width="33.44140625" style="1" customWidth="1"/>
    <col min="12540" max="12543" width="0" style="1" hidden="1" customWidth="1"/>
    <col min="12544" max="12544" width="14.44140625" style="1" customWidth="1"/>
    <col min="12545" max="12545" width="24.5546875" style="1" customWidth="1"/>
    <col min="12546" max="12546" width="20.88671875" style="1" customWidth="1"/>
    <col min="12547" max="12547" width="12.6640625" style="1" customWidth="1"/>
    <col min="12548" max="12548" width="11.33203125" style="1" customWidth="1"/>
    <col min="12549" max="12549" width="10.5546875" style="1" customWidth="1"/>
    <col min="12550" max="12551" width="9" style="1" customWidth="1"/>
    <col min="12552" max="12552" width="13.109375" style="1" customWidth="1"/>
    <col min="12553" max="12554" width="10.5546875" style="1" customWidth="1"/>
    <col min="12555" max="12555" width="9" style="1" customWidth="1"/>
    <col min="12556" max="12556" width="10.6640625" style="1" customWidth="1"/>
    <col min="12557" max="12558" width="0" style="1" hidden="1" customWidth="1"/>
    <col min="12559" max="12559" width="13.109375" style="1" customWidth="1"/>
    <col min="12560" max="12560" width="10.5546875" style="1" customWidth="1"/>
    <col min="12561" max="12561" width="11" style="1" customWidth="1"/>
    <col min="12562" max="12562" width="10.88671875" style="1" customWidth="1"/>
    <col min="12563" max="12563" width="7.5546875" style="1" customWidth="1"/>
    <col min="12564" max="12564" width="0" style="1" hidden="1" customWidth="1"/>
    <col min="12565" max="12565" width="9.44140625" style="1" customWidth="1"/>
    <col min="12566" max="12566" width="17" style="1" customWidth="1"/>
    <col min="12567" max="12567" width="11.33203125" style="1" customWidth="1"/>
    <col min="12568" max="12568" width="11" style="1" customWidth="1"/>
    <col min="12569" max="12569" width="9.44140625" style="1" customWidth="1"/>
    <col min="12570" max="12570" width="14.6640625" style="1" bestFit="1" customWidth="1"/>
    <col min="12571" max="12571" width="16.33203125" style="1" customWidth="1"/>
    <col min="12572" max="12572" width="12.6640625" style="1" customWidth="1"/>
    <col min="12573" max="12573" width="9.33203125" style="1"/>
    <col min="12574" max="12574" width="13.44140625" style="1" customWidth="1"/>
    <col min="12575" max="12791" width="9.33203125" style="1"/>
    <col min="12792" max="12792" width="11" style="1" customWidth="1"/>
    <col min="12793" max="12793" width="0" style="1" hidden="1" customWidth="1"/>
    <col min="12794" max="12794" width="23" style="1" bestFit="1" customWidth="1"/>
    <col min="12795" max="12795" width="33.44140625" style="1" customWidth="1"/>
    <col min="12796" max="12799" width="0" style="1" hidden="1" customWidth="1"/>
    <col min="12800" max="12800" width="14.44140625" style="1" customWidth="1"/>
    <col min="12801" max="12801" width="24.5546875" style="1" customWidth="1"/>
    <col min="12802" max="12802" width="20.88671875" style="1" customWidth="1"/>
    <col min="12803" max="12803" width="12.6640625" style="1" customWidth="1"/>
    <col min="12804" max="12804" width="11.33203125" style="1" customWidth="1"/>
    <col min="12805" max="12805" width="10.5546875" style="1" customWidth="1"/>
    <col min="12806" max="12807" width="9" style="1" customWidth="1"/>
    <col min="12808" max="12808" width="13.109375" style="1" customWidth="1"/>
    <col min="12809" max="12810" width="10.5546875" style="1" customWidth="1"/>
    <col min="12811" max="12811" width="9" style="1" customWidth="1"/>
    <col min="12812" max="12812" width="10.6640625" style="1" customWidth="1"/>
    <col min="12813" max="12814" width="0" style="1" hidden="1" customWidth="1"/>
    <col min="12815" max="12815" width="13.109375" style="1" customWidth="1"/>
    <col min="12816" max="12816" width="10.5546875" style="1" customWidth="1"/>
    <col min="12817" max="12817" width="11" style="1" customWidth="1"/>
    <col min="12818" max="12818" width="10.88671875" style="1" customWidth="1"/>
    <col min="12819" max="12819" width="7.5546875" style="1" customWidth="1"/>
    <col min="12820" max="12820" width="0" style="1" hidden="1" customWidth="1"/>
    <col min="12821" max="12821" width="9.44140625" style="1" customWidth="1"/>
    <col min="12822" max="12822" width="17" style="1" customWidth="1"/>
    <col min="12823" max="12823" width="11.33203125" style="1" customWidth="1"/>
    <col min="12824" max="12824" width="11" style="1" customWidth="1"/>
    <col min="12825" max="12825" width="9.44140625" style="1" customWidth="1"/>
    <col min="12826" max="12826" width="14.6640625" style="1" bestFit="1" customWidth="1"/>
    <col min="12827" max="12827" width="16.33203125" style="1" customWidth="1"/>
    <col min="12828" max="12828" width="12.6640625" style="1" customWidth="1"/>
    <col min="12829" max="12829" width="9.33203125" style="1"/>
    <col min="12830" max="12830" width="13.44140625" style="1" customWidth="1"/>
    <col min="12831" max="13047" width="9.33203125" style="1"/>
    <col min="13048" max="13048" width="11" style="1" customWidth="1"/>
    <col min="13049" max="13049" width="0" style="1" hidden="1" customWidth="1"/>
    <col min="13050" max="13050" width="23" style="1" bestFit="1" customWidth="1"/>
    <col min="13051" max="13051" width="33.44140625" style="1" customWidth="1"/>
    <col min="13052" max="13055" width="0" style="1" hidden="1" customWidth="1"/>
    <col min="13056" max="13056" width="14.44140625" style="1" customWidth="1"/>
    <col min="13057" max="13057" width="24.5546875" style="1" customWidth="1"/>
    <col min="13058" max="13058" width="20.88671875" style="1" customWidth="1"/>
    <col min="13059" max="13059" width="12.6640625" style="1" customWidth="1"/>
    <col min="13060" max="13060" width="11.33203125" style="1" customWidth="1"/>
    <col min="13061" max="13061" width="10.5546875" style="1" customWidth="1"/>
    <col min="13062" max="13063" width="9" style="1" customWidth="1"/>
    <col min="13064" max="13064" width="13.109375" style="1" customWidth="1"/>
    <col min="13065" max="13066" width="10.5546875" style="1" customWidth="1"/>
    <col min="13067" max="13067" width="9" style="1" customWidth="1"/>
    <col min="13068" max="13068" width="10.6640625" style="1" customWidth="1"/>
    <col min="13069" max="13070" width="0" style="1" hidden="1" customWidth="1"/>
    <col min="13071" max="13071" width="13.109375" style="1" customWidth="1"/>
    <col min="13072" max="13072" width="10.5546875" style="1" customWidth="1"/>
    <col min="13073" max="13073" width="11" style="1" customWidth="1"/>
    <col min="13074" max="13074" width="10.88671875" style="1" customWidth="1"/>
    <col min="13075" max="13075" width="7.5546875" style="1" customWidth="1"/>
    <col min="13076" max="13076" width="0" style="1" hidden="1" customWidth="1"/>
    <col min="13077" max="13077" width="9.44140625" style="1" customWidth="1"/>
    <col min="13078" max="13078" width="17" style="1" customWidth="1"/>
    <col min="13079" max="13079" width="11.33203125" style="1" customWidth="1"/>
    <col min="13080" max="13080" width="11" style="1" customWidth="1"/>
    <col min="13081" max="13081" width="9.44140625" style="1" customWidth="1"/>
    <col min="13082" max="13082" width="14.6640625" style="1" bestFit="1" customWidth="1"/>
    <col min="13083" max="13083" width="16.33203125" style="1" customWidth="1"/>
    <col min="13084" max="13084" width="12.6640625" style="1" customWidth="1"/>
    <col min="13085" max="13085" width="9.33203125" style="1"/>
    <col min="13086" max="13086" width="13.44140625" style="1" customWidth="1"/>
    <col min="13087" max="13303" width="9.33203125" style="1"/>
    <col min="13304" max="13304" width="11" style="1" customWidth="1"/>
    <col min="13305" max="13305" width="0" style="1" hidden="1" customWidth="1"/>
    <col min="13306" max="13306" width="23" style="1" bestFit="1" customWidth="1"/>
    <col min="13307" max="13307" width="33.44140625" style="1" customWidth="1"/>
    <col min="13308" max="13311" width="0" style="1" hidden="1" customWidth="1"/>
    <col min="13312" max="13312" width="14.44140625" style="1" customWidth="1"/>
    <col min="13313" max="13313" width="24.5546875" style="1" customWidth="1"/>
    <col min="13314" max="13314" width="20.88671875" style="1" customWidth="1"/>
    <col min="13315" max="13315" width="12.6640625" style="1" customWidth="1"/>
    <col min="13316" max="13316" width="11.33203125" style="1" customWidth="1"/>
    <col min="13317" max="13317" width="10.5546875" style="1" customWidth="1"/>
    <col min="13318" max="13319" width="9" style="1" customWidth="1"/>
    <col min="13320" max="13320" width="13.109375" style="1" customWidth="1"/>
    <col min="13321" max="13322" width="10.5546875" style="1" customWidth="1"/>
    <col min="13323" max="13323" width="9" style="1" customWidth="1"/>
    <col min="13324" max="13324" width="10.6640625" style="1" customWidth="1"/>
    <col min="13325" max="13326" width="0" style="1" hidden="1" customWidth="1"/>
    <col min="13327" max="13327" width="13.109375" style="1" customWidth="1"/>
    <col min="13328" max="13328" width="10.5546875" style="1" customWidth="1"/>
    <col min="13329" max="13329" width="11" style="1" customWidth="1"/>
    <col min="13330" max="13330" width="10.88671875" style="1" customWidth="1"/>
    <col min="13331" max="13331" width="7.5546875" style="1" customWidth="1"/>
    <col min="13332" max="13332" width="0" style="1" hidden="1" customWidth="1"/>
    <col min="13333" max="13333" width="9.44140625" style="1" customWidth="1"/>
    <col min="13334" max="13334" width="17" style="1" customWidth="1"/>
    <col min="13335" max="13335" width="11.33203125" style="1" customWidth="1"/>
    <col min="13336" max="13336" width="11" style="1" customWidth="1"/>
    <col min="13337" max="13337" width="9.44140625" style="1" customWidth="1"/>
    <col min="13338" max="13338" width="14.6640625" style="1" bestFit="1" customWidth="1"/>
    <col min="13339" max="13339" width="16.33203125" style="1" customWidth="1"/>
    <col min="13340" max="13340" width="12.6640625" style="1" customWidth="1"/>
    <col min="13341" max="13341" width="9.33203125" style="1"/>
    <col min="13342" max="13342" width="13.44140625" style="1" customWidth="1"/>
    <col min="13343" max="13559" width="9.33203125" style="1"/>
    <col min="13560" max="13560" width="11" style="1" customWidth="1"/>
    <col min="13561" max="13561" width="0" style="1" hidden="1" customWidth="1"/>
    <col min="13562" max="13562" width="23" style="1" bestFit="1" customWidth="1"/>
    <col min="13563" max="13563" width="33.44140625" style="1" customWidth="1"/>
    <col min="13564" max="13567" width="0" style="1" hidden="1" customWidth="1"/>
    <col min="13568" max="13568" width="14.44140625" style="1" customWidth="1"/>
    <col min="13569" max="13569" width="24.5546875" style="1" customWidth="1"/>
    <col min="13570" max="13570" width="20.88671875" style="1" customWidth="1"/>
    <col min="13571" max="13571" width="12.6640625" style="1" customWidth="1"/>
    <col min="13572" max="13572" width="11.33203125" style="1" customWidth="1"/>
    <col min="13573" max="13573" width="10.5546875" style="1" customWidth="1"/>
    <col min="13574" max="13575" width="9" style="1" customWidth="1"/>
    <col min="13576" max="13576" width="13.109375" style="1" customWidth="1"/>
    <col min="13577" max="13578" width="10.5546875" style="1" customWidth="1"/>
    <col min="13579" max="13579" width="9" style="1" customWidth="1"/>
    <col min="13580" max="13580" width="10.6640625" style="1" customWidth="1"/>
    <col min="13581" max="13582" width="0" style="1" hidden="1" customWidth="1"/>
    <col min="13583" max="13583" width="13.109375" style="1" customWidth="1"/>
    <col min="13584" max="13584" width="10.5546875" style="1" customWidth="1"/>
    <col min="13585" max="13585" width="11" style="1" customWidth="1"/>
    <col min="13586" max="13586" width="10.88671875" style="1" customWidth="1"/>
    <col min="13587" max="13587" width="7.5546875" style="1" customWidth="1"/>
    <col min="13588" max="13588" width="0" style="1" hidden="1" customWidth="1"/>
    <col min="13589" max="13589" width="9.44140625" style="1" customWidth="1"/>
    <col min="13590" max="13590" width="17" style="1" customWidth="1"/>
    <col min="13591" max="13591" width="11.33203125" style="1" customWidth="1"/>
    <col min="13592" max="13592" width="11" style="1" customWidth="1"/>
    <col min="13593" max="13593" width="9.44140625" style="1" customWidth="1"/>
    <col min="13594" max="13594" width="14.6640625" style="1" bestFit="1" customWidth="1"/>
    <col min="13595" max="13595" width="16.33203125" style="1" customWidth="1"/>
    <col min="13596" max="13596" width="12.6640625" style="1" customWidth="1"/>
    <col min="13597" max="13597" width="9.33203125" style="1"/>
    <col min="13598" max="13598" width="13.44140625" style="1" customWidth="1"/>
    <col min="13599" max="13815" width="9.33203125" style="1"/>
    <col min="13816" max="13816" width="11" style="1" customWidth="1"/>
    <col min="13817" max="13817" width="0" style="1" hidden="1" customWidth="1"/>
    <col min="13818" max="13818" width="23" style="1" bestFit="1" customWidth="1"/>
    <col min="13819" max="13819" width="33.44140625" style="1" customWidth="1"/>
    <col min="13820" max="13823" width="0" style="1" hidden="1" customWidth="1"/>
    <col min="13824" max="13824" width="14.44140625" style="1" customWidth="1"/>
    <col min="13825" max="13825" width="24.5546875" style="1" customWidth="1"/>
    <col min="13826" max="13826" width="20.88671875" style="1" customWidth="1"/>
    <col min="13827" max="13827" width="12.6640625" style="1" customWidth="1"/>
    <col min="13828" max="13828" width="11.33203125" style="1" customWidth="1"/>
    <col min="13829" max="13829" width="10.5546875" style="1" customWidth="1"/>
    <col min="13830" max="13831" width="9" style="1" customWidth="1"/>
    <col min="13832" max="13832" width="13.109375" style="1" customWidth="1"/>
    <col min="13833" max="13834" width="10.5546875" style="1" customWidth="1"/>
    <col min="13835" max="13835" width="9" style="1" customWidth="1"/>
    <col min="13836" max="13836" width="10.6640625" style="1" customWidth="1"/>
    <col min="13837" max="13838" width="0" style="1" hidden="1" customWidth="1"/>
    <col min="13839" max="13839" width="13.109375" style="1" customWidth="1"/>
    <col min="13840" max="13840" width="10.5546875" style="1" customWidth="1"/>
    <col min="13841" max="13841" width="11" style="1" customWidth="1"/>
    <col min="13842" max="13842" width="10.88671875" style="1" customWidth="1"/>
    <col min="13843" max="13843" width="7.5546875" style="1" customWidth="1"/>
    <col min="13844" max="13844" width="0" style="1" hidden="1" customWidth="1"/>
    <col min="13845" max="13845" width="9.44140625" style="1" customWidth="1"/>
    <col min="13846" max="13846" width="17" style="1" customWidth="1"/>
    <col min="13847" max="13847" width="11.33203125" style="1" customWidth="1"/>
    <col min="13848" max="13848" width="11" style="1" customWidth="1"/>
    <col min="13849" max="13849" width="9.44140625" style="1" customWidth="1"/>
    <col min="13850" max="13850" width="14.6640625" style="1" bestFit="1" customWidth="1"/>
    <col min="13851" max="13851" width="16.33203125" style="1" customWidth="1"/>
    <col min="13852" max="13852" width="12.6640625" style="1" customWidth="1"/>
    <col min="13853" max="13853" width="9.33203125" style="1"/>
    <col min="13854" max="13854" width="13.44140625" style="1" customWidth="1"/>
    <col min="13855" max="14071" width="9.33203125" style="1"/>
    <col min="14072" max="14072" width="11" style="1" customWidth="1"/>
    <col min="14073" max="14073" width="0" style="1" hidden="1" customWidth="1"/>
    <col min="14074" max="14074" width="23" style="1" bestFit="1" customWidth="1"/>
    <col min="14075" max="14075" width="33.44140625" style="1" customWidth="1"/>
    <col min="14076" max="14079" width="0" style="1" hidden="1" customWidth="1"/>
    <col min="14080" max="14080" width="14.44140625" style="1" customWidth="1"/>
    <col min="14081" max="14081" width="24.5546875" style="1" customWidth="1"/>
    <col min="14082" max="14082" width="20.88671875" style="1" customWidth="1"/>
    <col min="14083" max="14083" width="12.6640625" style="1" customWidth="1"/>
    <col min="14084" max="14084" width="11.33203125" style="1" customWidth="1"/>
    <col min="14085" max="14085" width="10.5546875" style="1" customWidth="1"/>
    <col min="14086" max="14087" width="9" style="1" customWidth="1"/>
    <col min="14088" max="14088" width="13.109375" style="1" customWidth="1"/>
    <col min="14089" max="14090" width="10.5546875" style="1" customWidth="1"/>
    <col min="14091" max="14091" width="9" style="1" customWidth="1"/>
    <col min="14092" max="14092" width="10.6640625" style="1" customWidth="1"/>
    <col min="14093" max="14094" width="0" style="1" hidden="1" customWidth="1"/>
    <col min="14095" max="14095" width="13.109375" style="1" customWidth="1"/>
    <col min="14096" max="14096" width="10.5546875" style="1" customWidth="1"/>
    <col min="14097" max="14097" width="11" style="1" customWidth="1"/>
    <col min="14098" max="14098" width="10.88671875" style="1" customWidth="1"/>
    <col min="14099" max="14099" width="7.5546875" style="1" customWidth="1"/>
    <col min="14100" max="14100" width="0" style="1" hidden="1" customWidth="1"/>
    <col min="14101" max="14101" width="9.44140625" style="1" customWidth="1"/>
    <col min="14102" max="14102" width="17" style="1" customWidth="1"/>
    <col min="14103" max="14103" width="11.33203125" style="1" customWidth="1"/>
    <col min="14104" max="14104" width="11" style="1" customWidth="1"/>
    <col min="14105" max="14105" width="9.44140625" style="1" customWidth="1"/>
    <col min="14106" max="14106" width="14.6640625" style="1" bestFit="1" customWidth="1"/>
    <col min="14107" max="14107" width="16.33203125" style="1" customWidth="1"/>
    <col min="14108" max="14108" width="12.6640625" style="1" customWidth="1"/>
    <col min="14109" max="14109" width="9.33203125" style="1"/>
    <col min="14110" max="14110" width="13.44140625" style="1" customWidth="1"/>
    <col min="14111" max="14327" width="9.33203125" style="1"/>
    <col min="14328" max="14328" width="11" style="1" customWidth="1"/>
    <col min="14329" max="14329" width="0" style="1" hidden="1" customWidth="1"/>
    <col min="14330" max="14330" width="23" style="1" bestFit="1" customWidth="1"/>
    <col min="14331" max="14331" width="33.44140625" style="1" customWidth="1"/>
    <col min="14332" max="14335" width="0" style="1" hidden="1" customWidth="1"/>
    <col min="14336" max="14336" width="14.44140625" style="1" customWidth="1"/>
    <col min="14337" max="14337" width="24.5546875" style="1" customWidth="1"/>
    <col min="14338" max="14338" width="20.88671875" style="1" customWidth="1"/>
    <col min="14339" max="14339" width="12.6640625" style="1" customWidth="1"/>
    <col min="14340" max="14340" width="11.33203125" style="1" customWidth="1"/>
    <col min="14341" max="14341" width="10.5546875" style="1" customWidth="1"/>
    <col min="14342" max="14343" width="9" style="1" customWidth="1"/>
    <col min="14344" max="14344" width="13.109375" style="1" customWidth="1"/>
    <col min="14345" max="14346" width="10.5546875" style="1" customWidth="1"/>
    <col min="14347" max="14347" width="9" style="1" customWidth="1"/>
    <col min="14348" max="14348" width="10.6640625" style="1" customWidth="1"/>
    <col min="14349" max="14350" width="0" style="1" hidden="1" customWidth="1"/>
    <col min="14351" max="14351" width="13.109375" style="1" customWidth="1"/>
    <col min="14352" max="14352" width="10.5546875" style="1" customWidth="1"/>
    <col min="14353" max="14353" width="11" style="1" customWidth="1"/>
    <col min="14354" max="14354" width="10.88671875" style="1" customWidth="1"/>
    <col min="14355" max="14355" width="7.5546875" style="1" customWidth="1"/>
    <col min="14356" max="14356" width="0" style="1" hidden="1" customWidth="1"/>
    <col min="14357" max="14357" width="9.44140625" style="1" customWidth="1"/>
    <col min="14358" max="14358" width="17" style="1" customWidth="1"/>
    <col min="14359" max="14359" width="11.33203125" style="1" customWidth="1"/>
    <col min="14360" max="14360" width="11" style="1" customWidth="1"/>
    <col min="14361" max="14361" width="9.44140625" style="1" customWidth="1"/>
    <col min="14362" max="14362" width="14.6640625" style="1" bestFit="1" customWidth="1"/>
    <col min="14363" max="14363" width="16.33203125" style="1" customWidth="1"/>
    <col min="14364" max="14364" width="12.6640625" style="1" customWidth="1"/>
    <col min="14365" max="14365" width="9.33203125" style="1"/>
    <col min="14366" max="14366" width="13.44140625" style="1" customWidth="1"/>
    <col min="14367" max="14583" width="9.33203125" style="1"/>
    <col min="14584" max="14584" width="11" style="1" customWidth="1"/>
    <col min="14585" max="14585" width="0" style="1" hidden="1" customWidth="1"/>
    <col min="14586" max="14586" width="23" style="1" bestFit="1" customWidth="1"/>
    <col min="14587" max="14587" width="33.44140625" style="1" customWidth="1"/>
    <col min="14588" max="14591" width="0" style="1" hidden="1" customWidth="1"/>
    <col min="14592" max="14592" width="14.44140625" style="1" customWidth="1"/>
    <col min="14593" max="14593" width="24.5546875" style="1" customWidth="1"/>
    <col min="14594" max="14594" width="20.88671875" style="1" customWidth="1"/>
    <col min="14595" max="14595" width="12.6640625" style="1" customWidth="1"/>
    <col min="14596" max="14596" width="11.33203125" style="1" customWidth="1"/>
    <col min="14597" max="14597" width="10.5546875" style="1" customWidth="1"/>
    <col min="14598" max="14599" width="9" style="1" customWidth="1"/>
    <col min="14600" max="14600" width="13.109375" style="1" customWidth="1"/>
    <col min="14601" max="14602" width="10.5546875" style="1" customWidth="1"/>
    <col min="14603" max="14603" width="9" style="1" customWidth="1"/>
    <col min="14604" max="14604" width="10.6640625" style="1" customWidth="1"/>
    <col min="14605" max="14606" width="0" style="1" hidden="1" customWidth="1"/>
    <col min="14607" max="14607" width="13.109375" style="1" customWidth="1"/>
    <col min="14608" max="14608" width="10.5546875" style="1" customWidth="1"/>
    <col min="14609" max="14609" width="11" style="1" customWidth="1"/>
    <col min="14610" max="14610" width="10.88671875" style="1" customWidth="1"/>
    <col min="14611" max="14611" width="7.5546875" style="1" customWidth="1"/>
    <col min="14612" max="14612" width="0" style="1" hidden="1" customWidth="1"/>
    <col min="14613" max="14613" width="9.44140625" style="1" customWidth="1"/>
    <col min="14614" max="14614" width="17" style="1" customWidth="1"/>
    <col min="14615" max="14615" width="11.33203125" style="1" customWidth="1"/>
    <col min="14616" max="14616" width="11" style="1" customWidth="1"/>
    <col min="14617" max="14617" width="9.44140625" style="1" customWidth="1"/>
    <col min="14618" max="14618" width="14.6640625" style="1" bestFit="1" customWidth="1"/>
    <col min="14619" max="14619" width="16.33203125" style="1" customWidth="1"/>
    <col min="14620" max="14620" width="12.6640625" style="1" customWidth="1"/>
    <col min="14621" max="14621" width="9.33203125" style="1"/>
    <col min="14622" max="14622" width="13.44140625" style="1" customWidth="1"/>
    <col min="14623" max="14839" width="9.33203125" style="1"/>
    <col min="14840" max="14840" width="11" style="1" customWidth="1"/>
    <col min="14841" max="14841" width="0" style="1" hidden="1" customWidth="1"/>
    <col min="14842" max="14842" width="23" style="1" bestFit="1" customWidth="1"/>
    <col min="14843" max="14843" width="33.44140625" style="1" customWidth="1"/>
    <col min="14844" max="14847" width="0" style="1" hidden="1" customWidth="1"/>
    <col min="14848" max="14848" width="14.44140625" style="1" customWidth="1"/>
    <col min="14849" max="14849" width="24.5546875" style="1" customWidth="1"/>
    <col min="14850" max="14850" width="20.88671875" style="1" customWidth="1"/>
    <col min="14851" max="14851" width="12.6640625" style="1" customWidth="1"/>
    <col min="14852" max="14852" width="11.33203125" style="1" customWidth="1"/>
    <col min="14853" max="14853" width="10.5546875" style="1" customWidth="1"/>
    <col min="14854" max="14855" width="9" style="1" customWidth="1"/>
    <col min="14856" max="14856" width="13.109375" style="1" customWidth="1"/>
    <col min="14857" max="14858" width="10.5546875" style="1" customWidth="1"/>
    <col min="14859" max="14859" width="9" style="1" customWidth="1"/>
    <col min="14860" max="14860" width="10.6640625" style="1" customWidth="1"/>
    <col min="14861" max="14862" width="0" style="1" hidden="1" customWidth="1"/>
    <col min="14863" max="14863" width="13.109375" style="1" customWidth="1"/>
    <col min="14864" max="14864" width="10.5546875" style="1" customWidth="1"/>
    <col min="14865" max="14865" width="11" style="1" customWidth="1"/>
    <col min="14866" max="14866" width="10.88671875" style="1" customWidth="1"/>
    <col min="14867" max="14867" width="7.5546875" style="1" customWidth="1"/>
    <col min="14868" max="14868" width="0" style="1" hidden="1" customWidth="1"/>
    <col min="14869" max="14869" width="9.44140625" style="1" customWidth="1"/>
    <col min="14870" max="14870" width="17" style="1" customWidth="1"/>
    <col min="14871" max="14871" width="11.33203125" style="1" customWidth="1"/>
    <col min="14872" max="14872" width="11" style="1" customWidth="1"/>
    <col min="14873" max="14873" width="9.44140625" style="1" customWidth="1"/>
    <col min="14874" max="14874" width="14.6640625" style="1" bestFit="1" customWidth="1"/>
    <col min="14875" max="14875" width="16.33203125" style="1" customWidth="1"/>
    <col min="14876" max="14876" width="12.6640625" style="1" customWidth="1"/>
    <col min="14877" max="14877" width="9.33203125" style="1"/>
    <col min="14878" max="14878" width="13.44140625" style="1" customWidth="1"/>
    <col min="14879" max="15095" width="9.33203125" style="1"/>
    <col min="15096" max="15096" width="11" style="1" customWidth="1"/>
    <col min="15097" max="15097" width="0" style="1" hidden="1" customWidth="1"/>
    <col min="15098" max="15098" width="23" style="1" bestFit="1" customWidth="1"/>
    <col min="15099" max="15099" width="33.44140625" style="1" customWidth="1"/>
    <col min="15100" max="15103" width="0" style="1" hidden="1" customWidth="1"/>
    <col min="15104" max="15104" width="14.44140625" style="1" customWidth="1"/>
    <col min="15105" max="15105" width="24.5546875" style="1" customWidth="1"/>
    <col min="15106" max="15106" width="20.88671875" style="1" customWidth="1"/>
    <col min="15107" max="15107" width="12.6640625" style="1" customWidth="1"/>
    <col min="15108" max="15108" width="11.33203125" style="1" customWidth="1"/>
    <col min="15109" max="15109" width="10.5546875" style="1" customWidth="1"/>
    <col min="15110" max="15111" width="9" style="1" customWidth="1"/>
    <col min="15112" max="15112" width="13.109375" style="1" customWidth="1"/>
    <col min="15113" max="15114" width="10.5546875" style="1" customWidth="1"/>
    <col min="15115" max="15115" width="9" style="1" customWidth="1"/>
    <col min="15116" max="15116" width="10.6640625" style="1" customWidth="1"/>
    <col min="15117" max="15118" width="0" style="1" hidden="1" customWidth="1"/>
    <col min="15119" max="15119" width="13.109375" style="1" customWidth="1"/>
    <col min="15120" max="15120" width="10.5546875" style="1" customWidth="1"/>
    <col min="15121" max="15121" width="11" style="1" customWidth="1"/>
    <col min="15122" max="15122" width="10.88671875" style="1" customWidth="1"/>
    <col min="15123" max="15123" width="7.5546875" style="1" customWidth="1"/>
    <col min="15124" max="15124" width="0" style="1" hidden="1" customWidth="1"/>
    <col min="15125" max="15125" width="9.44140625" style="1" customWidth="1"/>
    <col min="15126" max="15126" width="17" style="1" customWidth="1"/>
    <col min="15127" max="15127" width="11.33203125" style="1" customWidth="1"/>
    <col min="15128" max="15128" width="11" style="1" customWidth="1"/>
    <col min="15129" max="15129" width="9.44140625" style="1" customWidth="1"/>
    <col min="15130" max="15130" width="14.6640625" style="1" bestFit="1" customWidth="1"/>
    <col min="15131" max="15131" width="16.33203125" style="1" customWidth="1"/>
    <col min="15132" max="15132" width="12.6640625" style="1" customWidth="1"/>
    <col min="15133" max="15133" width="9.33203125" style="1"/>
    <col min="15134" max="15134" width="13.44140625" style="1" customWidth="1"/>
    <col min="15135" max="15351" width="9.33203125" style="1"/>
    <col min="15352" max="15352" width="11" style="1" customWidth="1"/>
    <col min="15353" max="15353" width="0" style="1" hidden="1" customWidth="1"/>
    <col min="15354" max="15354" width="23" style="1" bestFit="1" customWidth="1"/>
    <col min="15355" max="15355" width="33.44140625" style="1" customWidth="1"/>
    <col min="15356" max="15359" width="0" style="1" hidden="1" customWidth="1"/>
    <col min="15360" max="15360" width="14.44140625" style="1" customWidth="1"/>
    <col min="15361" max="15361" width="24.5546875" style="1" customWidth="1"/>
    <col min="15362" max="15362" width="20.88671875" style="1" customWidth="1"/>
    <col min="15363" max="15363" width="12.6640625" style="1" customWidth="1"/>
    <col min="15364" max="15364" width="11.33203125" style="1" customWidth="1"/>
    <col min="15365" max="15365" width="10.5546875" style="1" customWidth="1"/>
    <col min="15366" max="15367" width="9" style="1" customWidth="1"/>
    <col min="15368" max="15368" width="13.109375" style="1" customWidth="1"/>
    <col min="15369" max="15370" width="10.5546875" style="1" customWidth="1"/>
    <col min="15371" max="15371" width="9" style="1" customWidth="1"/>
    <col min="15372" max="15372" width="10.6640625" style="1" customWidth="1"/>
    <col min="15373" max="15374" width="0" style="1" hidden="1" customWidth="1"/>
    <col min="15375" max="15375" width="13.109375" style="1" customWidth="1"/>
    <col min="15376" max="15376" width="10.5546875" style="1" customWidth="1"/>
    <col min="15377" max="15377" width="11" style="1" customWidth="1"/>
    <col min="15378" max="15378" width="10.88671875" style="1" customWidth="1"/>
    <col min="15379" max="15379" width="7.5546875" style="1" customWidth="1"/>
    <col min="15380" max="15380" width="0" style="1" hidden="1" customWidth="1"/>
    <col min="15381" max="15381" width="9.44140625" style="1" customWidth="1"/>
    <col min="15382" max="15382" width="17" style="1" customWidth="1"/>
    <col min="15383" max="15383" width="11.33203125" style="1" customWidth="1"/>
    <col min="15384" max="15384" width="11" style="1" customWidth="1"/>
    <col min="15385" max="15385" width="9.44140625" style="1" customWidth="1"/>
    <col min="15386" max="15386" width="14.6640625" style="1" bestFit="1" customWidth="1"/>
    <col min="15387" max="15387" width="16.33203125" style="1" customWidth="1"/>
    <col min="15388" max="15388" width="12.6640625" style="1" customWidth="1"/>
    <col min="15389" max="15389" width="9.33203125" style="1"/>
    <col min="15390" max="15390" width="13.44140625" style="1" customWidth="1"/>
    <col min="15391" max="15607" width="9.33203125" style="1"/>
    <col min="15608" max="15608" width="11" style="1" customWidth="1"/>
    <col min="15609" max="15609" width="0" style="1" hidden="1" customWidth="1"/>
    <col min="15610" max="15610" width="23" style="1" bestFit="1" customWidth="1"/>
    <col min="15611" max="15611" width="33.44140625" style="1" customWidth="1"/>
    <col min="15612" max="15615" width="0" style="1" hidden="1" customWidth="1"/>
    <col min="15616" max="15616" width="14.44140625" style="1" customWidth="1"/>
    <col min="15617" max="15617" width="24.5546875" style="1" customWidth="1"/>
    <col min="15618" max="15618" width="20.88671875" style="1" customWidth="1"/>
    <col min="15619" max="15619" width="12.6640625" style="1" customWidth="1"/>
    <col min="15620" max="15620" width="11.33203125" style="1" customWidth="1"/>
    <col min="15621" max="15621" width="10.5546875" style="1" customWidth="1"/>
    <col min="15622" max="15623" width="9" style="1" customWidth="1"/>
    <col min="15624" max="15624" width="13.109375" style="1" customWidth="1"/>
    <col min="15625" max="15626" width="10.5546875" style="1" customWidth="1"/>
    <col min="15627" max="15627" width="9" style="1" customWidth="1"/>
    <col min="15628" max="15628" width="10.6640625" style="1" customWidth="1"/>
    <col min="15629" max="15630" width="0" style="1" hidden="1" customWidth="1"/>
    <col min="15631" max="15631" width="13.109375" style="1" customWidth="1"/>
    <col min="15632" max="15632" width="10.5546875" style="1" customWidth="1"/>
    <col min="15633" max="15633" width="11" style="1" customWidth="1"/>
    <col min="15634" max="15634" width="10.88671875" style="1" customWidth="1"/>
    <col min="15635" max="15635" width="7.5546875" style="1" customWidth="1"/>
    <col min="15636" max="15636" width="0" style="1" hidden="1" customWidth="1"/>
    <col min="15637" max="15637" width="9.44140625" style="1" customWidth="1"/>
    <col min="15638" max="15638" width="17" style="1" customWidth="1"/>
    <col min="15639" max="15639" width="11.33203125" style="1" customWidth="1"/>
    <col min="15640" max="15640" width="11" style="1" customWidth="1"/>
    <col min="15641" max="15641" width="9.44140625" style="1" customWidth="1"/>
    <col min="15642" max="15642" width="14.6640625" style="1" bestFit="1" customWidth="1"/>
    <col min="15643" max="15643" width="16.33203125" style="1" customWidth="1"/>
    <col min="15644" max="15644" width="12.6640625" style="1" customWidth="1"/>
    <col min="15645" max="15645" width="9.33203125" style="1"/>
    <col min="15646" max="15646" width="13.44140625" style="1" customWidth="1"/>
    <col min="15647" max="15863" width="9.33203125" style="1"/>
    <col min="15864" max="15864" width="11" style="1" customWidth="1"/>
    <col min="15865" max="15865" width="0" style="1" hidden="1" customWidth="1"/>
    <col min="15866" max="15866" width="23" style="1" bestFit="1" customWidth="1"/>
    <col min="15867" max="15867" width="33.44140625" style="1" customWidth="1"/>
    <col min="15868" max="15871" width="0" style="1" hidden="1" customWidth="1"/>
    <col min="15872" max="15872" width="14.44140625" style="1" customWidth="1"/>
    <col min="15873" max="15873" width="24.5546875" style="1" customWidth="1"/>
    <col min="15874" max="15874" width="20.88671875" style="1" customWidth="1"/>
    <col min="15875" max="15875" width="12.6640625" style="1" customWidth="1"/>
    <col min="15876" max="15876" width="11.33203125" style="1" customWidth="1"/>
    <col min="15877" max="15877" width="10.5546875" style="1" customWidth="1"/>
    <col min="15878" max="15879" width="9" style="1" customWidth="1"/>
    <col min="15880" max="15880" width="13.109375" style="1" customWidth="1"/>
    <col min="15881" max="15882" width="10.5546875" style="1" customWidth="1"/>
    <col min="15883" max="15883" width="9" style="1" customWidth="1"/>
    <col min="15884" max="15884" width="10.6640625" style="1" customWidth="1"/>
    <col min="15885" max="15886" width="0" style="1" hidden="1" customWidth="1"/>
    <col min="15887" max="15887" width="13.109375" style="1" customWidth="1"/>
    <col min="15888" max="15888" width="10.5546875" style="1" customWidth="1"/>
    <col min="15889" max="15889" width="11" style="1" customWidth="1"/>
    <col min="15890" max="15890" width="10.88671875" style="1" customWidth="1"/>
    <col min="15891" max="15891" width="7.5546875" style="1" customWidth="1"/>
    <col min="15892" max="15892" width="0" style="1" hidden="1" customWidth="1"/>
    <col min="15893" max="15893" width="9.44140625" style="1" customWidth="1"/>
    <col min="15894" max="15894" width="17" style="1" customWidth="1"/>
    <col min="15895" max="15895" width="11.33203125" style="1" customWidth="1"/>
    <col min="15896" max="15896" width="11" style="1" customWidth="1"/>
    <col min="15897" max="15897" width="9.44140625" style="1" customWidth="1"/>
    <col min="15898" max="15898" width="14.6640625" style="1" bestFit="1" customWidth="1"/>
    <col min="15899" max="15899" width="16.33203125" style="1" customWidth="1"/>
    <col min="15900" max="15900" width="12.6640625" style="1" customWidth="1"/>
    <col min="15901" max="15901" width="9.33203125" style="1"/>
    <col min="15902" max="15902" width="13.44140625" style="1" customWidth="1"/>
    <col min="15903" max="16119" width="9.33203125" style="1"/>
    <col min="16120" max="16120" width="11" style="1" customWidth="1"/>
    <col min="16121" max="16121" width="0" style="1" hidden="1" customWidth="1"/>
    <col min="16122" max="16122" width="23" style="1" bestFit="1" customWidth="1"/>
    <col min="16123" max="16123" width="33.44140625" style="1" customWidth="1"/>
    <col min="16124" max="16127" width="0" style="1" hidden="1" customWidth="1"/>
    <col min="16128" max="16128" width="14.44140625" style="1" customWidth="1"/>
    <col min="16129" max="16129" width="24.5546875" style="1" customWidth="1"/>
    <col min="16130" max="16130" width="20.88671875" style="1" customWidth="1"/>
    <col min="16131" max="16131" width="12.6640625" style="1" customWidth="1"/>
    <col min="16132" max="16132" width="11.33203125" style="1" customWidth="1"/>
    <col min="16133" max="16133" width="10.5546875" style="1" customWidth="1"/>
    <col min="16134" max="16135" width="9" style="1" customWidth="1"/>
    <col min="16136" max="16136" width="13.109375" style="1" customWidth="1"/>
    <col min="16137" max="16138" width="10.5546875" style="1" customWidth="1"/>
    <col min="16139" max="16139" width="9" style="1" customWidth="1"/>
    <col min="16140" max="16140" width="10.6640625" style="1" customWidth="1"/>
    <col min="16141" max="16142" width="0" style="1" hidden="1" customWidth="1"/>
    <col min="16143" max="16143" width="13.109375" style="1" customWidth="1"/>
    <col min="16144" max="16144" width="10.5546875" style="1" customWidth="1"/>
    <col min="16145" max="16145" width="11" style="1" customWidth="1"/>
    <col min="16146" max="16146" width="10.88671875" style="1" customWidth="1"/>
    <col min="16147" max="16147" width="7.5546875" style="1" customWidth="1"/>
    <col min="16148" max="16148" width="0" style="1" hidden="1" customWidth="1"/>
    <col min="16149" max="16149" width="9.44140625" style="1" customWidth="1"/>
    <col min="16150" max="16150" width="17" style="1" customWidth="1"/>
    <col min="16151" max="16151" width="11.33203125" style="1" customWidth="1"/>
    <col min="16152" max="16152" width="11" style="1" customWidth="1"/>
    <col min="16153" max="16153" width="9.44140625" style="1" customWidth="1"/>
    <col min="16154" max="16154" width="14.6640625" style="1" bestFit="1" customWidth="1"/>
    <col min="16155" max="16155" width="16.33203125" style="1" customWidth="1"/>
    <col min="16156" max="16156" width="12.6640625" style="1" customWidth="1"/>
    <col min="16157" max="16157" width="9.33203125" style="1"/>
    <col min="16158" max="16158" width="13.44140625" style="1" customWidth="1"/>
    <col min="16159" max="16384" width="9.33203125" style="1"/>
  </cols>
  <sheetData>
    <row r="1" spans="1:33" x14ac:dyDescent="0.3">
      <c r="Y1" s="4"/>
    </row>
    <row r="2" spans="1:33" x14ac:dyDescent="0.3">
      <c r="Y2" s="4"/>
      <c r="Z2" s="4"/>
    </row>
    <row r="3" spans="1:33" x14ac:dyDescent="0.3">
      <c r="Y3" s="4"/>
      <c r="Z3" s="4"/>
    </row>
    <row r="4" spans="1:33" s="5" customFormat="1" x14ac:dyDescent="0.3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</row>
    <row r="5" spans="1:33" s="5" customFormat="1" ht="18" customHeight="1" x14ac:dyDescent="0.3">
      <c r="A5" s="41" t="s">
        <v>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</row>
    <row r="6" spans="1:33" ht="15.75" customHeight="1" x14ac:dyDescent="0.3">
      <c r="A6" s="42"/>
      <c r="B6" s="42"/>
      <c r="C6" s="42"/>
      <c r="D6" s="42"/>
      <c r="E6" s="6"/>
      <c r="F6" s="6"/>
    </row>
    <row r="7" spans="1:33" ht="12.75" customHeight="1" x14ac:dyDescent="0.3"/>
    <row r="8" spans="1:33" s="8" customFormat="1" x14ac:dyDescent="0.3">
      <c r="A8" s="43" t="s">
        <v>2</v>
      </c>
      <c r="B8" s="40" t="s">
        <v>3</v>
      </c>
      <c r="C8" s="43" t="s">
        <v>4</v>
      </c>
      <c r="D8" s="43" t="s">
        <v>5</v>
      </c>
      <c r="E8" s="43" t="s">
        <v>6</v>
      </c>
      <c r="F8" s="43" t="s">
        <v>7</v>
      </c>
      <c r="G8" s="38" t="s">
        <v>8</v>
      </c>
      <c r="H8" s="39" t="s">
        <v>9</v>
      </c>
      <c r="I8" s="40" t="s">
        <v>10</v>
      </c>
      <c r="J8" s="38" t="s">
        <v>11</v>
      </c>
      <c r="K8" s="38" t="s">
        <v>12</v>
      </c>
      <c r="L8" s="38" t="s">
        <v>13</v>
      </c>
      <c r="M8" s="38" t="s">
        <v>14</v>
      </c>
      <c r="N8" s="38" t="s">
        <v>15</v>
      </c>
      <c r="O8" s="38"/>
      <c r="P8" s="38"/>
      <c r="Q8" s="38"/>
      <c r="R8" s="38"/>
      <c r="S8" s="38" t="s">
        <v>16</v>
      </c>
      <c r="T8" s="38"/>
      <c r="U8" s="38"/>
      <c r="V8" s="38"/>
      <c r="W8" s="38"/>
      <c r="X8" s="38"/>
      <c r="Y8" s="38"/>
      <c r="Z8" s="38" t="s">
        <v>17</v>
      </c>
      <c r="AA8" s="38"/>
      <c r="AB8" s="38"/>
      <c r="AC8" s="38"/>
      <c r="AD8" s="38"/>
      <c r="AE8" s="38" t="s">
        <v>18</v>
      </c>
    </row>
    <row r="9" spans="1:33" s="8" customFormat="1" ht="32.4" x14ac:dyDescent="0.3">
      <c r="A9" s="43"/>
      <c r="B9" s="40"/>
      <c r="C9" s="43"/>
      <c r="D9" s="43"/>
      <c r="E9" s="43"/>
      <c r="F9" s="43"/>
      <c r="G9" s="38"/>
      <c r="H9" s="39"/>
      <c r="I9" s="40"/>
      <c r="J9" s="38"/>
      <c r="K9" s="38"/>
      <c r="L9" s="38"/>
      <c r="M9" s="38"/>
      <c r="N9" s="7" t="s">
        <v>19</v>
      </c>
      <c r="O9" s="7" t="s">
        <v>20</v>
      </c>
      <c r="P9" s="7" t="s">
        <v>21</v>
      </c>
      <c r="Q9" s="7" t="s">
        <v>22</v>
      </c>
      <c r="R9" s="7" t="s">
        <v>23</v>
      </c>
      <c r="S9" s="7" t="s">
        <v>19</v>
      </c>
      <c r="T9" s="7" t="s">
        <v>20</v>
      </c>
      <c r="U9" s="7" t="s">
        <v>21</v>
      </c>
      <c r="V9" s="7"/>
      <c r="W9" s="7"/>
      <c r="X9" s="7" t="s">
        <v>22</v>
      </c>
      <c r="Y9" s="7" t="s">
        <v>23</v>
      </c>
      <c r="Z9" s="7" t="s">
        <v>24</v>
      </c>
      <c r="AA9" s="7" t="s">
        <v>25</v>
      </c>
      <c r="AB9" s="7" t="s">
        <v>26</v>
      </c>
      <c r="AC9" s="7" t="s">
        <v>27</v>
      </c>
      <c r="AD9" s="7" t="s">
        <v>23</v>
      </c>
      <c r="AE9" s="38"/>
      <c r="AF9" s="8" t="s">
        <v>103</v>
      </c>
      <c r="AG9" s="8" t="s">
        <v>104</v>
      </c>
    </row>
    <row r="10" spans="1:33" s="22" customFormat="1" ht="32.4" x14ac:dyDescent="0.3">
      <c r="A10" s="9">
        <v>1</v>
      </c>
      <c r="B10" s="10" t="s">
        <v>28</v>
      </c>
      <c r="C10" s="11" t="s">
        <v>29</v>
      </c>
      <c r="D10" s="12" t="s">
        <v>30</v>
      </c>
      <c r="E10" s="13" t="s">
        <v>31</v>
      </c>
      <c r="F10" s="12" t="s">
        <v>32</v>
      </c>
      <c r="G10" s="14" t="s">
        <v>33</v>
      </c>
      <c r="H10" s="15" t="s">
        <v>34</v>
      </c>
      <c r="I10" s="16" t="s">
        <v>35</v>
      </c>
      <c r="J10" s="17" t="s">
        <v>36</v>
      </c>
      <c r="K10" s="18"/>
      <c r="L10" s="19">
        <v>31</v>
      </c>
      <c r="M10" s="19">
        <v>17</v>
      </c>
      <c r="N10" s="20">
        <v>12140</v>
      </c>
      <c r="O10" s="20">
        <v>4114</v>
      </c>
      <c r="P10" s="20">
        <v>5348</v>
      </c>
      <c r="Q10" s="20">
        <f t="shared" ref="Q10:Q19" si="0">ROUND((N10+O10)*8.33%,0)</f>
        <v>1354</v>
      </c>
      <c r="R10" s="20">
        <f t="shared" ref="R10:R19" si="1">ROUND(SUM(N10:Q10),0)</f>
        <v>22956</v>
      </c>
      <c r="S10" s="20">
        <f t="shared" ref="S10:S19" si="2">ROUND(N10/L10*M10,0)</f>
        <v>6657</v>
      </c>
      <c r="T10" s="20">
        <f t="shared" ref="T10:T19" si="3">ROUND(O10/L10*M10,0)</f>
        <v>2256</v>
      </c>
      <c r="U10" s="20">
        <f t="shared" ref="U10:U19" si="4">ROUND(P10/L10*M10,0)</f>
        <v>2933</v>
      </c>
      <c r="V10" s="20"/>
      <c r="W10" s="20"/>
      <c r="X10" s="20">
        <f t="shared" ref="X10:X19" si="5">ROUND(+Q10/L10*M10,0)</f>
        <v>743</v>
      </c>
      <c r="Y10" s="20">
        <f t="shared" ref="Y10:Y19" si="6">ROUND(SUM(S10:X10),0)</f>
        <v>12589</v>
      </c>
      <c r="Z10" s="20">
        <f t="shared" ref="Z10:Z19" si="7">ROUND((S10+T10)*12%,0)</f>
        <v>1070</v>
      </c>
      <c r="AA10" s="20">
        <f t="shared" ref="AA10:AA19" si="8">ROUND(IF(Y10&lt;20999,Y10*0.75%,0),0)</f>
        <v>94</v>
      </c>
      <c r="AB10" s="20">
        <f t="shared" ref="AB10:AB19" si="9">ROUND(IF(Y10&gt;=25000,200,0),0)</f>
        <v>0</v>
      </c>
      <c r="AC10" s="20">
        <v>0</v>
      </c>
      <c r="AD10" s="20">
        <f t="shared" ref="AD10:AD19" si="10">ROUND(SUM(Z10:AC10),0)</f>
        <v>1164</v>
      </c>
      <c r="AE10" s="21">
        <f t="shared" ref="AE10:AE19" si="11">ROUND(Y10-AD10,0)</f>
        <v>11425</v>
      </c>
      <c r="AF10" s="44" t="s">
        <v>105</v>
      </c>
      <c r="AG10" s="22">
        <v>9632212016</v>
      </c>
    </row>
    <row r="11" spans="1:33" s="22" customFormat="1" ht="32.4" x14ac:dyDescent="0.3">
      <c r="A11" s="9">
        <v>2</v>
      </c>
      <c r="B11" s="10" t="s">
        <v>37</v>
      </c>
      <c r="C11" s="23" t="s">
        <v>38</v>
      </c>
      <c r="D11" s="12" t="s">
        <v>39</v>
      </c>
      <c r="E11" s="13" t="s">
        <v>31</v>
      </c>
      <c r="F11" s="12" t="s">
        <v>40</v>
      </c>
      <c r="G11" s="14" t="s">
        <v>33</v>
      </c>
      <c r="H11" s="15" t="s">
        <v>34</v>
      </c>
      <c r="I11" s="24" t="s">
        <v>41</v>
      </c>
      <c r="J11" s="25" t="s">
        <v>42</v>
      </c>
      <c r="K11" s="26" t="s">
        <v>43</v>
      </c>
      <c r="L11" s="19">
        <v>31</v>
      </c>
      <c r="M11" s="19">
        <v>31</v>
      </c>
      <c r="N11" s="20">
        <v>12140</v>
      </c>
      <c r="O11" s="20">
        <v>4114</v>
      </c>
      <c r="P11" s="20">
        <v>4894</v>
      </c>
      <c r="Q11" s="20">
        <f t="shared" si="0"/>
        <v>1354</v>
      </c>
      <c r="R11" s="20">
        <f t="shared" si="1"/>
        <v>22502</v>
      </c>
      <c r="S11" s="20">
        <f t="shared" si="2"/>
        <v>12140</v>
      </c>
      <c r="T11" s="20">
        <f t="shared" si="3"/>
        <v>4114</v>
      </c>
      <c r="U11" s="20">
        <f t="shared" si="4"/>
        <v>4894</v>
      </c>
      <c r="V11" s="20"/>
      <c r="W11" s="20"/>
      <c r="X11" s="20">
        <f t="shared" si="5"/>
        <v>1354</v>
      </c>
      <c r="Y11" s="20">
        <f t="shared" si="6"/>
        <v>22502</v>
      </c>
      <c r="Z11" s="20">
        <f t="shared" si="7"/>
        <v>1950</v>
      </c>
      <c r="AA11" s="20">
        <f t="shared" si="8"/>
        <v>0</v>
      </c>
      <c r="AB11" s="20">
        <f t="shared" si="9"/>
        <v>0</v>
      </c>
      <c r="AC11" s="20">
        <v>0</v>
      </c>
      <c r="AD11" s="20">
        <f t="shared" si="10"/>
        <v>1950</v>
      </c>
      <c r="AE11" s="21">
        <f t="shared" si="11"/>
        <v>20552</v>
      </c>
      <c r="AF11" s="44" t="s">
        <v>106</v>
      </c>
      <c r="AG11" s="22">
        <v>9632212016</v>
      </c>
    </row>
    <row r="12" spans="1:33" s="22" customFormat="1" ht="32.4" x14ac:dyDescent="0.3">
      <c r="A12" s="9">
        <v>3</v>
      </c>
      <c r="B12" s="10" t="s">
        <v>44</v>
      </c>
      <c r="C12" s="11" t="s">
        <v>45</v>
      </c>
      <c r="D12" s="27" t="s">
        <v>46</v>
      </c>
      <c r="E12" s="13" t="s">
        <v>31</v>
      </c>
      <c r="F12" s="12" t="s">
        <v>47</v>
      </c>
      <c r="G12" s="14" t="s">
        <v>48</v>
      </c>
      <c r="H12" s="15" t="s">
        <v>34</v>
      </c>
      <c r="I12" s="24" t="s">
        <v>49</v>
      </c>
      <c r="J12" s="28" t="s">
        <v>50</v>
      </c>
      <c r="K12" s="26" t="s">
        <v>51</v>
      </c>
      <c r="L12" s="19">
        <v>31</v>
      </c>
      <c r="M12" s="19">
        <v>17</v>
      </c>
      <c r="N12" s="20">
        <v>12140</v>
      </c>
      <c r="O12" s="20">
        <v>4114</v>
      </c>
      <c r="P12" s="20">
        <v>10857</v>
      </c>
      <c r="Q12" s="20">
        <f t="shared" si="0"/>
        <v>1354</v>
      </c>
      <c r="R12" s="20">
        <f t="shared" si="1"/>
        <v>28465</v>
      </c>
      <c r="S12" s="20">
        <f t="shared" si="2"/>
        <v>6657</v>
      </c>
      <c r="T12" s="20">
        <f t="shared" si="3"/>
        <v>2256</v>
      </c>
      <c r="U12" s="20">
        <f t="shared" si="4"/>
        <v>5954</v>
      </c>
      <c r="V12" s="20"/>
      <c r="W12" s="20"/>
      <c r="X12" s="20">
        <f t="shared" si="5"/>
        <v>743</v>
      </c>
      <c r="Y12" s="20">
        <f t="shared" si="6"/>
        <v>15610</v>
      </c>
      <c r="Z12" s="20">
        <f t="shared" si="7"/>
        <v>1070</v>
      </c>
      <c r="AA12" s="20">
        <f t="shared" si="8"/>
        <v>117</v>
      </c>
      <c r="AB12" s="20">
        <f t="shared" si="9"/>
        <v>0</v>
      </c>
      <c r="AC12" s="20">
        <v>0</v>
      </c>
      <c r="AD12" s="20">
        <f t="shared" si="10"/>
        <v>1187</v>
      </c>
      <c r="AE12" s="21">
        <f t="shared" si="11"/>
        <v>14423</v>
      </c>
      <c r="AF12" s="44" t="s">
        <v>106</v>
      </c>
      <c r="AG12" s="22">
        <v>9632212016</v>
      </c>
    </row>
    <row r="13" spans="1:33" s="22" customFormat="1" ht="32.4" x14ac:dyDescent="0.3">
      <c r="A13" s="9">
        <v>4</v>
      </c>
      <c r="B13" s="10" t="s">
        <v>52</v>
      </c>
      <c r="C13" s="11" t="s">
        <v>53</v>
      </c>
      <c r="D13" s="27" t="s">
        <v>54</v>
      </c>
      <c r="E13" s="13" t="s">
        <v>31</v>
      </c>
      <c r="F13" s="12" t="s">
        <v>55</v>
      </c>
      <c r="G13" s="14" t="s">
        <v>48</v>
      </c>
      <c r="H13" s="15" t="s">
        <v>34</v>
      </c>
      <c r="I13" s="24" t="s">
        <v>56</v>
      </c>
      <c r="J13" s="28" t="s">
        <v>57</v>
      </c>
      <c r="K13" s="26" t="s">
        <v>58</v>
      </c>
      <c r="L13" s="19">
        <v>31</v>
      </c>
      <c r="M13" s="19">
        <v>31</v>
      </c>
      <c r="N13" s="20">
        <v>12140</v>
      </c>
      <c r="O13" s="20">
        <v>4114</v>
      </c>
      <c r="P13" s="20">
        <v>6363</v>
      </c>
      <c r="Q13" s="20">
        <f t="shared" si="0"/>
        <v>1354</v>
      </c>
      <c r="R13" s="20">
        <f t="shared" si="1"/>
        <v>23971</v>
      </c>
      <c r="S13" s="20">
        <f t="shared" si="2"/>
        <v>12140</v>
      </c>
      <c r="T13" s="20">
        <f t="shared" si="3"/>
        <v>4114</v>
      </c>
      <c r="U13" s="20">
        <f t="shared" si="4"/>
        <v>6363</v>
      </c>
      <c r="V13" s="20"/>
      <c r="W13" s="20"/>
      <c r="X13" s="20">
        <f t="shared" si="5"/>
        <v>1354</v>
      </c>
      <c r="Y13" s="20">
        <f t="shared" si="6"/>
        <v>23971</v>
      </c>
      <c r="Z13" s="20">
        <f t="shared" si="7"/>
        <v>1950</v>
      </c>
      <c r="AA13" s="20">
        <f t="shared" si="8"/>
        <v>0</v>
      </c>
      <c r="AB13" s="20">
        <f t="shared" si="9"/>
        <v>0</v>
      </c>
      <c r="AC13" s="20">
        <v>0</v>
      </c>
      <c r="AD13" s="20">
        <f t="shared" si="10"/>
        <v>1950</v>
      </c>
      <c r="AE13" s="21">
        <f t="shared" si="11"/>
        <v>22021</v>
      </c>
      <c r="AF13" s="44" t="s">
        <v>106</v>
      </c>
      <c r="AG13" s="22">
        <v>9632212016</v>
      </c>
    </row>
    <row r="14" spans="1:33" s="22" customFormat="1" ht="32.4" x14ac:dyDescent="0.3">
      <c r="A14" s="9">
        <v>5</v>
      </c>
      <c r="B14" s="29" t="s">
        <v>59</v>
      </c>
      <c r="C14" s="11" t="s">
        <v>60</v>
      </c>
      <c r="D14" s="27" t="s">
        <v>61</v>
      </c>
      <c r="E14" s="13" t="s">
        <v>31</v>
      </c>
      <c r="F14" s="12" t="s">
        <v>62</v>
      </c>
      <c r="G14" s="14" t="s">
        <v>63</v>
      </c>
      <c r="H14" s="15">
        <v>5043923130</v>
      </c>
      <c r="I14" s="24" t="s">
        <v>64</v>
      </c>
      <c r="J14" s="28" t="s">
        <v>65</v>
      </c>
      <c r="K14" s="26" t="s">
        <v>66</v>
      </c>
      <c r="L14" s="19">
        <v>31</v>
      </c>
      <c r="M14" s="19">
        <v>30</v>
      </c>
      <c r="N14" s="20">
        <v>12140</v>
      </c>
      <c r="O14" s="20">
        <v>4114</v>
      </c>
      <c r="P14" s="20">
        <v>2703</v>
      </c>
      <c r="Q14" s="20">
        <f t="shared" si="0"/>
        <v>1354</v>
      </c>
      <c r="R14" s="20">
        <f t="shared" si="1"/>
        <v>20311</v>
      </c>
      <c r="S14" s="20">
        <f t="shared" si="2"/>
        <v>11748</v>
      </c>
      <c r="T14" s="20">
        <f t="shared" si="3"/>
        <v>3981</v>
      </c>
      <c r="U14" s="20">
        <f t="shared" si="4"/>
        <v>2616</v>
      </c>
      <c r="V14" s="20"/>
      <c r="W14" s="20"/>
      <c r="X14" s="20">
        <f t="shared" si="5"/>
        <v>1310</v>
      </c>
      <c r="Y14" s="20">
        <f t="shared" si="6"/>
        <v>19655</v>
      </c>
      <c r="Z14" s="20">
        <f t="shared" si="7"/>
        <v>1887</v>
      </c>
      <c r="AA14" s="20">
        <f t="shared" si="8"/>
        <v>147</v>
      </c>
      <c r="AB14" s="20">
        <f t="shared" si="9"/>
        <v>0</v>
      </c>
      <c r="AC14" s="20">
        <v>0</v>
      </c>
      <c r="AD14" s="20">
        <f t="shared" si="10"/>
        <v>2034</v>
      </c>
      <c r="AE14" s="21">
        <f t="shared" si="11"/>
        <v>17621</v>
      </c>
      <c r="AF14" s="44" t="s">
        <v>106</v>
      </c>
      <c r="AG14" s="22">
        <v>9632212016</v>
      </c>
    </row>
    <row r="15" spans="1:33" s="22" customFormat="1" ht="32.4" x14ac:dyDescent="0.3">
      <c r="A15" s="9">
        <v>6</v>
      </c>
      <c r="B15" s="10" t="s">
        <v>67</v>
      </c>
      <c r="C15" s="11" t="s">
        <v>68</v>
      </c>
      <c r="D15" s="27" t="s">
        <v>69</v>
      </c>
      <c r="E15" s="13" t="s">
        <v>31</v>
      </c>
      <c r="F15" s="12" t="s">
        <v>70</v>
      </c>
      <c r="G15" s="14" t="s">
        <v>71</v>
      </c>
      <c r="H15" s="20">
        <v>5042836699</v>
      </c>
      <c r="I15" s="16" t="s">
        <v>72</v>
      </c>
      <c r="J15" s="17" t="s">
        <v>73</v>
      </c>
      <c r="K15" s="18" t="s">
        <v>74</v>
      </c>
      <c r="L15" s="19">
        <v>31</v>
      </c>
      <c r="M15" s="19">
        <v>31</v>
      </c>
      <c r="N15" s="20">
        <v>11037</v>
      </c>
      <c r="O15" s="20">
        <v>4114</v>
      </c>
      <c r="P15" s="20">
        <v>1371</v>
      </c>
      <c r="Q15" s="20">
        <f t="shared" si="0"/>
        <v>1262</v>
      </c>
      <c r="R15" s="20">
        <f t="shared" si="1"/>
        <v>17784</v>
      </c>
      <c r="S15" s="20">
        <f t="shared" si="2"/>
        <v>11037</v>
      </c>
      <c r="T15" s="20">
        <f t="shared" si="3"/>
        <v>4114</v>
      </c>
      <c r="U15" s="20">
        <f t="shared" si="4"/>
        <v>1371</v>
      </c>
      <c r="V15" s="20"/>
      <c r="W15" s="20"/>
      <c r="X15" s="20">
        <f t="shared" si="5"/>
        <v>1262</v>
      </c>
      <c r="Y15" s="20">
        <f t="shared" si="6"/>
        <v>17784</v>
      </c>
      <c r="Z15" s="20">
        <f t="shared" si="7"/>
        <v>1818</v>
      </c>
      <c r="AA15" s="20">
        <f t="shared" si="8"/>
        <v>133</v>
      </c>
      <c r="AB15" s="20">
        <f t="shared" si="9"/>
        <v>0</v>
      </c>
      <c r="AC15" s="20">
        <v>0</v>
      </c>
      <c r="AD15" s="20">
        <f t="shared" si="10"/>
        <v>1951</v>
      </c>
      <c r="AE15" s="21">
        <f t="shared" si="11"/>
        <v>15833</v>
      </c>
      <c r="AF15" s="44" t="s">
        <v>106</v>
      </c>
      <c r="AG15" s="22">
        <v>9632212016</v>
      </c>
    </row>
    <row r="16" spans="1:33" s="22" customFormat="1" ht="32.4" x14ac:dyDescent="0.3">
      <c r="A16" s="9">
        <v>7</v>
      </c>
      <c r="B16" s="10" t="s">
        <v>75</v>
      </c>
      <c r="C16" s="30" t="s">
        <v>76</v>
      </c>
      <c r="D16" s="27" t="s">
        <v>77</v>
      </c>
      <c r="E16" s="13" t="s">
        <v>31</v>
      </c>
      <c r="F16" s="12" t="s">
        <v>78</v>
      </c>
      <c r="G16" s="14" t="s">
        <v>71</v>
      </c>
      <c r="H16" s="15">
        <v>5043459881</v>
      </c>
      <c r="I16" s="16" t="s">
        <v>79</v>
      </c>
      <c r="J16" s="31" t="s">
        <v>80</v>
      </c>
      <c r="K16" s="18" t="s">
        <v>81</v>
      </c>
      <c r="L16" s="19">
        <v>31</v>
      </c>
      <c r="M16" s="19">
        <v>30</v>
      </c>
      <c r="N16" s="20">
        <v>11037</v>
      </c>
      <c r="O16" s="20">
        <v>4114</v>
      </c>
      <c r="P16" s="20">
        <v>1188</v>
      </c>
      <c r="Q16" s="20">
        <f t="shared" si="0"/>
        <v>1262</v>
      </c>
      <c r="R16" s="20">
        <f t="shared" si="1"/>
        <v>17601</v>
      </c>
      <c r="S16" s="20">
        <f t="shared" si="2"/>
        <v>10681</v>
      </c>
      <c r="T16" s="20">
        <f t="shared" si="3"/>
        <v>3981</v>
      </c>
      <c r="U16" s="20">
        <f t="shared" si="4"/>
        <v>1150</v>
      </c>
      <c r="V16" s="20"/>
      <c r="W16" s="20"/>
      <c r="X16" s="20">
        <f t="shared" si="5"/>
        <v>1221</v>
      </c>
      <c r="Y16" s="20">
        <f t="shared" si="6"/>
        <v>17033</v>
      </c>
      <c r="Z16" s="20">
        <f t="shared" si="7"/>
        <v>1759</v>
      </c>
      <c r="AA16" s="20">
        <f t="shared" si="8"/>
        <v>128</v>
      </c>
      <c r="AB16" s="20">
        <f t="shared" si="9"/>
        <v>0</v>
      </c>
      <c r="AC16" s="20">
        <v>0</v>
      </c>
      <c r="AD16" s="20">
        <f t="shared" si="10"/>
        <v>1887</v>
      </c>
      <c r="AE16" s="21">
        <f t="shared" si="11"/>
        <v>15146</v>
      </c>
      <c r="AF16" s="44" t="s">
        <v>106</v>
      </c>
      <c r="AG16" s="22">
        <v>9632212016</v>
      </c>
    </row>
    <row r="17" spans="1:33" s="22" customFormat="1" ht="32.4" x14ac:dyDescent="0.3">
      <c r="A17" s="9">
        <v>8</v>
      </c>
      <c r="B17" s="10" t="s">
        <v>82</v>
      </c>
      <c r="C17" s="11" t="s">
        <v>83</v>
      </c>
      <c r="D17" s="27" t="s">
        <v>84</v>
      </c>
      <c r="E17" s="13" t="s">
        <v>31</v>
      </c>
      <c r="F17" s="12" t="s">
        <v>85</v>
      </c>
      <c r="G17" s="14" t="s">
        <v>71</v>
      </c>
      <c r="H17" s="15">
        <v>5042812817</v>
      </c>
      <c r="I17" s="16" t="s">
        <v>86</v>
      </c>
      <c r="J17" s="32">
        <v>520101216281918</v>
      </c>
      <c r="K17" s="18" t="s">
        <v>87</v>
      </c>
      <c r="L17" s="19">
        <v>31</v>
      </c>
      <c r="M17" s="19">
        <v>31</v>
      </c>
      <c r="N17" s="20">
        <v>11037</v>
      </c>
      <c r="O17" s="20">
        <v>4114</v>
      </c>
      <c r="P17" s="20">
        <v>1371</v>
      </c>
      <c r="Q17" s="20">
        <f>ROUND((N17+O17)*8.33%,0)</f>
        <v>1262</v>
      </c>
      <c r="R17" s="20">
        <f>ROUND(SUM(N17:Q17),0)</f>
        <v>17784</v>
      </c>
      <c r="S17" s="20">
        <f>ROUND(N17/L17*M17,0)</f>
        <v>11037</v>
      </c>
      <c r="T17" s="20">
        <f>ROUND(O17/L17*M17,0)</f>
        <v>4114</v>
      </c>
      <c r="U17" s="20">
        <f>ROUND(P17/L17*M17,0)</f>
        <v>1371</v>
      </c>
      <c r="V17" s="20"/>
      <c r="W17" s="20"/>
      <c r="X17" s="20">
        <f>ROUND(+Q17/L17*M17,0)</f>
        <v>1262</v>
      </c>
      <c r="Y17" s="20">
        <f>ROUND(SUM(S17:X17),0)</f>
        <v>17784</v>
      </c>
      <c r="Z17" s="20">
        <f>ROUND((S17+T17)*12%,0)</f>
        <v>1818</v>
      </c>
      <c r="AA17" s="20">
        <f>ROUND(IF(Y17&lt;20999,Y17*0.75%,0),0)</f>
        <v>133</v>
      </c>
      <c r="AB17" s="20">
        <f>ROUND(IF(Y17&gt;=25000,200,0),0)</f>
        <v>0</v>
      </c>
      <c r="AC17" s="20">
        <v>0</v>
      </c>
      <c r="AD17" s="20">
        <f>ROUND(SUM(Z17:AC17),0)</f>
        <v>1951</v>
      </c>
      <c r="AE17" s="21">
        <f>ROUND(Y17-AD17,0)</f>
        <v>15833</v>
      </c>
      <c r="AF17" s="44" t="s">
        <v>106</v>
      </c>
      <c r="AG17" s="22">
        <v>9632212016</v>
      </c>
    </row>
    <row r="18" spans="1:33" s="22" customFormat="1" ht="32.4" x14ac:dyDescent="0.3">
      <c r="A18" s="9">
        <v>9</v>
      </c>
      <c r="B18" s="10" t="s">
        <v>88</v>
      </c>
      <c r="C18" s="11" t="s">
        <v>89</v>
      </c>
      <c r="D18" s="27" t="s">
        <v>90</v>
      </c>
      <c r="E18" s="13" t="s">
        <v>31</v>
      </c>
      <c r="F18" s="12" t="s">
        <v>91</v>
      </c>
      <c r="G18" s="14" t="s">
        <v>71</v>
      </c>
      <c r="H18" s="20">
        <v>5043243329</v>
      </c>
      <c r="I18" s="16" t="s">
        <v>92</v>
      </c>
      <c r="J18" s="31" t="s">
        <v>93</v>
      </c>
      <c r="K18" s="18"/>
      <c r="L18" s="19">
        <v>31</v>
      </c>
      <c r="M18" s="19">
        <v>31</v>
      </c>
      <c r="N18" s="20">
        <v>11037</v>
      </c>
      <c r="O18" s="20">
        <v>4114</v>
      </c>
      <c r="P18" s="20">
        <v>1371</v>
      </c>
      <c r="Q18" s="20">
        <f>ROUND((N18+O18)*8.33%,0)</f>
        <v>1262</v>
      </c>
      <c r="R18" s="20">
        <f>ROUND(SUM(N18:Q18),0)</f>
        <v>17784</v>
      </c>
      <c r="S18" s="20">
        <f>ROUND(N18/L18*M18,0)</f>
        <v>11037</v>
      </c>
      <c r="T18" s="20">
        <f>ROUND(O18/L18*M18,0)</f>
        <v>4114</v>
      </c>
      <c r="U18" s="20">
        <f>ROUND(P18/L18*M18,0)</f>
        <v>1371</v>
      </c>
      <c r="V18" s="20"/>
      <c r="W18" s="20"/>
      <c r="X18" s="20">
        <f>ROUND(+Q18/L18*M18,0)</f>
        <v>1262</v>
      </c>
      <c r="Y18" s="20">
        <f>ROUND(SUM(S18:X18),0)</f>
        <v>17784</v>
      </c>
      <c r="Z18" s="20">
        <f>ROUND((S18+T18)*12%,0)</f>
        <v>1818</v>
      </c>
      <c r="AA18" s="20">
        <f>ROUND(IF(Y18&lt;20999,Y18*0.75%,0),0)</f>
        <v>133</v>
      </c>
      <c r="AB18" s="20">
        <f>ROUND(IF(Y18&gt;=25000,200,0),0)</f>
        <v>0</v>
      </c>
      <c r="AC18" s="20">
        <v>0</v>
      </c>
      <c r="AD18" s="20">
        <f>ROUND(SUM(Z18:AC18),0)</f>
        <v>1951</v>
      </c>
      <c r="AE18" s="21">
        <f>ROUND(Y18-AD18,0)</f>
        <v>15833</v>
      </c>
      <c r="AF18" s="44" t="s">
        <v>106</v>
      </c>
      <c r="AG18" s="22">
        <v>9632212016</v>
      </c>
    </row>
    <row r="19" spans="1:33" s="22" customFormat="1" ht="32.4" x14ac:dyDescent="0.3">
      <c r="A19" s="9">
        <v>10</v>
      </c>
      <c r="B19" s="10" t="s">
        <v>94</v>
      </c>
      <c r="C19" s="11" t="s">
        <v>95</v>
      </c>
      <c r="D19" s="27" t="s">
        <v>96</v>
      </c>
      <c r="E19" s="13" t="s">
        <v>31</v>
      </c>
      <c r="F19" s="12" t="s">
        <v>97</v>
      </c>
      <c r="G19" s="14" t="s">
        <v>98</v>
      </c>
      <c r="H19" s="20">
        <v>5043294957</v>
      </c>
      <c r="I19" s="16" t="s">
        <v>99</v>
      </c>
      <c r="J19" s="31" t="s">
        <v>100</v>
      </c>
      <c r="K19" s="18" t="s">
        <v>101</v>
      </c>
      <c r="L19" s="19">
        <v>31</v>
      </c>
      <c r="M19" s="19">
        <v>31</v>
      </c>
      <c r="N19" s="20">
        <v>11037</v>
      </c>
      <c r="O19" s="20">
        <v>4114</v>
      </c>
      <c r="P19" s="20">
        <v>528</v>
      </c>
      <c r="Q19" s="20">
        <f t="shared" si="0"/>
        <v>1262</v>
      </c>
      <c r="R19" s="20">
        <f t="shared" si="1"/>
        <v>16941</v>
      </c>
      <c r="S19" s="20">
        <f t="shared" si="2"/>
        <v>11037</v>
      </c>
      <c r="T19" s="20">
        <f t="shared" si="3"/>
        <v>4114</v>
      </c>
      <c r="U19" s="20">
        <f t="shared" si="4"/>
        <v>528</v>
      </c>
      <c r="V19" s="20"/>
      <c r="W19" s="20"/>
      <c r="X19" s="20">
        <f t="shared" si="5"/>
        <v>1262</v>
      </c>
      <c r="Y19" s="20">
        <f t="shared" si="6"/>
        <v>16941</v>
      </c>
      <c r="Z19" s="20">
        <f t="shared" si="7"/>
        <v>1818</v>
      </c>
      <c r="AA19" s="20">
        <f t="shared" si="8"/>
        <v>127</v>
      </c>
      <c r="AB19" s="20">
        <f t="shared" si="9"/>
        <v>0</v>
      </c>
      <c r="AC19" s="20">
        <v>0</v>
      </c>
      <c r="AD19" s="20">
        <f t="shared" si="10"/>
        <v>1945</v>
      </c>
      <c r="AE19" s="21">
        <f t="shared" si="11"/>
        <v>14996</v>
      </c>
      <c r="AF19" s="44" t="s">
        <v>106</v>
      </c>
      <c r="AG19" s="22">
        <v>9632212016</v>
      </c>
    </row>
    <row r="20" spans="1:33" s="6" customFormat="1" ht="28.5" customHeight="1" x14ac:dyDescent="0.3">
      <c r="A20" s="33" t="s">
        <v>102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5"/>
      <c r="M20" s="36">
        <f>SUM(M10:M19)</f>
        <v>280</v>
      </c>
      <c r="N20" s="36">
        <f t="shared" ref="N20:AE20" si="12">SUM(N10:N19)</f>
        <v>115885</v>
      </c>
      <c r="O20" s="36">
        <f t="shared" si="12"/>
        <v>41140</v>
      </c>
      <c r="P20" s="36">
        <f t="shared" si="12"/>
        <v>35994</v>
      </c>
      <c r="Q20" s="36">
        <f t="shared" si="12"/>
        <v>13080</v>
      </c>
      <c r="R20" s="36">
        <f t="shared" si="12"/>
        <v>206099</v>
      </c>
      <c r="S20" s="36">
        <f t="shared" si="12"/>
        <v>104171</v>
      </c>
      <c r="T20" s="36">
        <f t="shared" si="12"/>
        <v>37158</v>
      </c>
      <c r="U20" s="36">
        <f t="shared" si="12"/>
        <v>28551</v>
      </c>
      <c r="V20" s="36">
        <f t="shared" si="12"/>
        <v>0</v>
      </c>
      <c r="W20" s="36">
        <f t="shared" si="12"/>
        <v>0</v>
      </c>
      <c r="X20" s="36">
        <f t="shared" si="12"/>
        <v>11773</v>
      </c>
      <c r="Y20" s="36">
        <f t="shared" si="12"/>
        <v>181653</v>
      </c>
      <c r="Z20" s="36">
        <f t="shared" si="12"/>
        <v>16958</v>
      </c>
      <c r="AA20" s="36">
        <f t="shared" si="12"/>
        <v>1012</v>
      </c>
      <c r="AB20" s="36">
        <f t="shared" si="12"/>
        <v>0</v>
      </c>
      <c r="AC20" s="36">
        <f t="shared" si="12"/>
        <v>0</v>
      </c>
      <c r="AD20" s="36">
        <f t="shared" si="12"/>
        <v>17970</v>
      </c>
      <c r="AE20" s="36">
        <f t="shared" si="12"/>
        <v>163683</v>
      </c>
    </row>
    <row r="24" spans="1:33" x14ac:dyDescent="0.3">
      <c r="AE24" s="37"/>
    </row>
  </sheetData>
  <mergeCells count="20">
    <mergeCell ref="A4:AE4"/>
    <mergeCell ref="A5:AE5"/>
    <mergeCell ref="A6:D6"/>
    <mergeCell ref="A8:A9"/>
    <mergeCell ref="B8:B9"/>
    <mergeCell ref="C8:C9"/>
    <mergeCell ref="D8:D9"/>
    <mergeCell ref="E8:E9"/>
    <mergeCell ref="F8:F9"/>
    <mergeCell ref="G8:G9"/>
    <mergeCell ref="N8:R8"/>
    <mergeCell ref="S8:Y8"/>
    <mergeCell ref="Z8:AD8"/>
    <mergeCell ref="AE8:AE9"/>
    <mergeCell ref="H8:H9"/>
    <mergeCell ref="I8:I9"/>
    <mergeCell ref="J8:J9"/>
    <mergeCell ref="K8:K9"/>
    <mergeCell ref="L8:L9"/>
    <mergeCell ref="M8:M9"/>
  </mergeCells>
  <hyperlinks>
    <hyperlink ref="AF10" r:id="rId1" xr:uid="{26085D7D-2BD5-4DA7-A088-519E8A1775AF}"/>
    <hyperlink ref="AF11" r:id="rId2" xr:uid="{E36712C4-54C1-4600-8907-D41438BA1EE0}"/>
    <hyperlink ref="AF12:AF19" r:id="rId3" display="rshashank659@gmail.com" xr:uid="{B15195CA-0FAD-4A7D-AC8C-ED390FA80FF3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MANTECH</dc:creator>
  <cp:lastModifiedBy>sellogs 11</cp:lastModifiedBy>
  <dcterms:created xsi:type="dcterms:W3CDTF">2026-02-14T07:16:39Z</dcterms:created>
  <dcterms:modified xsi:type="dcterms:W3CDTF">2026-02-14T08:00:46Z</dcterms:modified>
</cp:coreProperties>
</file>